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ing\"/>
    </mc:Choice>
  </mc:AlternateContent>
  <bookViews>
    <workbookView xWindow="0" yWindow="0" windowWidth="19200" windowHeight="7190" activeTab="4"/>
  </bookViews>
  <sheets>
    <sheet name="Dashboard_PL" sheetId="1" r:id="rId1"/>
    <sheet name="Customers" sheetId="2" r:id="rId2"/>
    <sheet name="Raw_Materials" sheetId="3" r:id="rId3"/>
    <sheet name="Sales_Orders" sheetId="4" r:id="rId4"/>
    <sheet name="Products" sheetId="5" r:id="rId5"/>
    <sheet name="Product_Wise_Sales" sheetId="6" r:id="rId6"/>
    <sheet name="Expenses_and_Draws" sheetId="7" r:id="rId7"/>
    <sheet name="Unpaid_Invoices" sheetId="8" r:id="rId8"/>
    <sheet name="Direct_Operating_Expenses" sheetId="9" r:id="rId9"/>
    <sheet name="Owners_Draws" sheetId="10" r:id="rId10"/>
  </sheets>
  <calcPr calcId="152511"/>
</workbook>
</file>

<file path=xl/calcChain.xml><?xml version="1.0" encoding="utf-8"?>
<calcChain xmlns="http://schemas.openxmlformats.org/spreadsheetml/2006/main">
  <c r="E4" i="10" l="1"/>
  <c r="E27" i="9"/>
  <c r="C15" i="1" s="1"/>
  <c r="E11" i="8"/>
  <c r="D11" i="8"/>
  <c r="F10" i="8"/>
  <c r="F9" i="8"/>
  <c r="F8" i="8"/>
  <c r="F7" i="8"/>
  <c r="F6" i="8"/>
  <c r="F5" i="8"/>
  <c r="F4" i="8"/>
  <c r="F3" i="8"/>
  <c r="F2" i="8"/>
  <c r="F11" i="8" s="1"/>
  <c r="C19" i="1" s="1"/>
  <c r="F29" i="7"/>
  <c r="E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29" i="7" s="1"/>
  <c r="D14" i="6"/>
  <c r="C14" i="6"/>
  <c r="I5" i="5"/>
  <c r="H5" i="5"/>
  <c r="G5" i="5"/>
  <c r="E5" i="5"/>
  <c r="I4" i="5"/>
  <c r="H4" i="5"/>
  <c r="G4" i="5"/>
  <c r="E4" i="5"/>
  <c r="I3" i="5"/>
  <c r="H3" i="5"/>
  <c r="G3" i="5"/>
  <c r="E3" i="5"/>
  <c r="I2" i="5"/>
  <c r="I6" i="5" s="1"/>
  <c r="C21" i="1" s="1"/>
  <c r="H2" i="5"/>
  <c r="G2" i="5"/>
  <c r="G6" i="5" s="1"/>
  <c r="E2" i="5"/>
  <c r="E6" i="5" s="1"/>
  <c r="I197" i="4"/>
  <c r="H197" i="4"/>
  <c r="G197" i="4"/>
  <c r="E197" i="4"/>
  <c r="E13" i="3"/>
  <c r="D13" i="3"/>
  <c r="H12" i="3"/>
  <c r="F12" i="3"/>
  <c r="F11" i="3"/>
  <c r="H11" i="3" s="1"/>
  <c r="H10" i="3"/>
  <c r="F10" i="3"/>
  <c r="H9" i="3"/>
  <c r="F9" i="3"/>
  <c r="H8" i="3"/>
  <c r="F8" i="3"/>
  <c r="F7" i="3"/>
  <c r="H7" i="3" s="1"/>
  <c r="H6" i="3"/>
  <c r="F6" i="3"/>
  <c r="H5" i="3"/>
  <c r="F5" i="3"/>
  <c r="H4" i="3"/>
  <c r="F4" i="3"/>
  <c r="F3" i="3"/>
  <c r="H3" i="3" s="1"/>
  <c r="H2" i="3"/>
  <c r="F2" i="3"/>
  <c r="F13" i="3" s="1"/>
  <c r="C17" i="1"/>
  <c r="C12" i="1"/>
  <c r="H13" i="3" l="1"/>
  <c r="C13" i="1"/>
  <c r="E6" i="1"/>
  <c r="H6" i="1" l="1"/>
  <c r="C14" i="1"/>
  <c r="C16" i="1" s="1"/>
  <c r="C18" i="1" s="1"/>
</calcChain>
</file>

<file path=xl/sharedStrings.xml><?xml version="1.0" encoding="utf-8"?>
<sst xmlns="http://schemas.openxmlformats.org/spreadsheetml/2006/main" count="1685" uniqueCount="435">
  <si>
    <t>ORCA WATER PLANT - FINANCIAL &amp; OPERATIONAL DASHBOARD</t>
  </si>
  <si>
    <t>Real-Time Business Performance &amp; Profit &amp; Loss Summary (FY 2026 - 2027)</t>
  </si>
  <si>
    <t>TOTAL GROSS SALES &amp; DISCOUNTS</t>
  </si>
  <si>
    <t>TOTAL COST OF GOODS SOLD (COGS)</t>
  </si>
  <si>
    <t>GROSS PROFIT (AFTER COGS &amp; DIRECT EXP)</t>
  </si>
  <si>
    <t>P&amp;L Statement Category</t>
  </si>
  <si>
    <t>Amount (PKR)</t>
  </si>
  <si>
    <t>Notes &amp; Reconciled Sources</t>
  </si>
  <si>
    <t>Total Gross Sales Revenue</t>
  </si>
  <si>
    <t>Detailed Sales Report Total Gross Sales</t>
  </si>
  <si>
    <t>Less: Total Discounts Allowed</t>
  </si>
  <si>
    <t>Explicit Invoice &amp; Rate-Based Discounts</t>
  </si>
  <si>
    <t>Net Sales Revenue</t>
  </si>
  <si>
    <t>Net Sales Realized (PKR 186,130.00)</t>
  </si>
  <si>
    <t>Less: Cost of Goods Sold (COGS)</t>
  </si>
  <si>
    <t>Inventory Report (1500ml &amp; 500ml Pure/Mix)</t>
  </si>
  <si>
    <t>PRODUCT GROSS MARGIN</t>
  </si>
  <si>
    <t>Total Product Contribution</t>
  </si>
  <si>
    <t>Less: Direct Plant Operating Expenses</t>
  </si>
  <si>
    <t>Fuel, Electricity, Gas, Software</t>
  </si>
  <si>
    <t>GROSS PROFIT</t>
  </si>
  <si>
    <t>Net Business Gross Profit</t>
  </si>
  <si>
    <t>Less: Indirect Expenses (Personal Owner Draws)</t>
  </si>
  <si>
    <t>Profit Deductions / Owner Income Withdrawals</t>
  </si>
  <si>
    <t>NET PROFIT / REMAINING CASH FLOW</t>
  </si>
  <si>
    <t>Reinvestable Net Plant Balance</t>
  </si>
  <si>
    <t>Total Outstanding Client Receivables (Unpaid Invoices)</t>
  </si>
  <si>
    <t>9 Active Unpaid Invoices across 9 Clients</t>
  </si>
  <si>
    <t>Total Cash Payments Collected to Date</t>
  </si>
  <si>
    <t>Collected Sales Revenue</t>
  </si>
  <si>
    <t>Remaining Unsold Finished Goods Inventory Valuation</t>
  </si>
  <si>
    <t>34 Pcs 500ml Pure, 220 Pcs 1500ml Pure, etc.</t>
  </si>
  <si>
    <t>Sr No.</t>
  </si>
  <si>
    <t>Organization Name</t>
  </si>
  <si>
    <t>Client Category</t>
  </si>
  <si>
    <t>Contact Person</t>
  </si>
  <si>
    <t>Contact Number</t>
  </si>
  <si>
    <t>Email</t>
  </si>
  <si>
    <t>Address</t>
  </si>
  <si>
    <t>Tax ID</t>
  </si>
  <si>
    <t>Business Details</t>
  </si>
  <si>
    <t>Shipping Address</t>
  </si>
  <si>
    <t>Abdullah Cold Corner</t>
  </si>
  <si>
    <t>Special Customer</t>
  </si>
  <si>
    <t>Amir Bhai</t>
  </si>
  <si>
    <t>0301 6265080</t>
  </si>
  <si>
    <t>-</t>
  </si>
  <si>
    <t>Jassar Bypass, Narowal</t>
  </si>
  <si>
    <t>Amir Bhai Abdullah Cold Corner
0301 6265080</t>
  </si>
  <si>
    <t>Abid Karyana Store</t>
  </si>
  <si>
    <t>0333 8868876</t>
  </si>
  <si>
    <t>Mohalla Abbas Nagar</t>
  </si>
  <si>
    <t xml:space="preserve">Abid Karyana Store
0333 8868876
</t>
  </si>
  <si>
    <t>Abrar Butt</t>
  </si>
  <si>
    <t>Adnan Pan Shop</t>
  </si>
  <si>
    <t>Opposite Roshan Palace, Narowal</t>
  </si>
  <si>
    <t>Al Khair Pharmacy</t>
  </si>
  <si>
    <t>03235626060</t>
  </si>
  <si>
    <t>Zafarwal Bypass, Narowal</t>
  </si>
  <si>
    <t>Al Raheem Unity Store</t>
  </si>
  <si>
    <t>03328384666</t>
  </si>
  <si>
    <t>Opposite Al Raheem Residentia</t>
  </si>
  <si>
    <t>Ali Bhai Tuck Shop</t>
  </si>
  <si>
    <t>Mohammad Ali</t>
  </si>
  <si>
    <t>03046803341</t>
  </si>
  <si>
    <t>Sabzi Mandi Narowal</t>
  </si>
  <si>
    <t>Allah Rakha Pan Shop</t>
  </si>
  <si>
    <t>Baddomalhi</t>
  </si>
  <si>
    <t>Amir Stationary</t>
  </si>
  <si>
    <t>Opposite RCS College, Circular Road, Narowal</t>
  </si>
  <si>
    <t>Anwar Butt</t>
  </si>
  <si>
    <t>Behind FDPP Pharmacy, Narowal</t>
  </si>
  <si>
    <t>Anwar Karyana Store</t>
  </si>
  <si>
    <t>+92 300 7772385</t>
  </si>
  <si>
    <t>Old Kuchehry Road</t>
  </si>
  <si>
    <t>AR Super Store</t>
  </si>
  <si>
    <t>03456941017</t>
  </si>
  <si>
    <t xml:space="preserve">Near University Of Narowal </t>
  </si>
  <si>
    <t>Asif Pan Shop</t>
  </si>
  <si>
    <t>Railway Road, Narowal</t>
  </si>
  <si>
    <t>Azam Pan Shop</t>
  </si>
  <si>
    <t>Butt Choice</t>
  </si>
  <si>
    <t>Umar Farooq</t>
  </si>
  <si>
    <t>03032675899</t>
  </si>
  <si>
    <t>Butt Pharmacy</t>
  </si>
  <si>
    <t>03076202424</t>
  </si>
  <si>
    <t>SadiqPura, opposite Dining Restaurant</t>
  </si>
  <si>
    <t>Butt Tobacco Shop</t>
  </si>
  <si>
    <t>Care Pharmacy</t>
  </si>
  <si>
    <t xml:space="preserve">Umar </t>
  </si>
  <si>
    <t>03117246684</t>
  </si>
  <si>
    <t>Chand Butt</t>
  </si>
  <si>
    <t>Shakargarh</t>
  </si>
  <si>
    <t>Clinic Pharmacy</t>
  </si>
  <si>
    <t>03045629293</t>
  </si>
  <si>
    <t>Opposite Sahara Hospital</t>
  </si>
  <si>
    <t>Doctors Pharmacy</t>
  </si>
  <si>
    <t>+92 305 8058023</t>
  </si>
  <si>
    <t>Rasainwal Phattak, Narowal</t>
  </si>
  <si>
    <t>Faisal General Store</t>
  </si>
  <si>
    <t>Near Butt Pharmacy, Circular Road, Narowal</t>
  </si>
  <si>
    <t>FDPP Pharmacy</t>
  </si>
  <si>
    <t>03446375620</t>
  </si>
  <si>
    <t>Opposite DHQ Hospital, Narowal</t>
  </si>
  <si>
    <t>Fine Bakers</t>
  </si>
  <si>
    <t>+92 321 7770482</t>
  </si>
  <si>
    <t>Old Kutchery Road, Narowal</t>
  </si>
  <si>
    <t>Friends Pharmacy</t>
  </si>
  <si>
    <t>Adnan Bhai</t>
  </si>
  <si>
    <t>+92 331 9660578</t>
  </si>
  <si>
    <t>Zafarwal Road Near Rajpoot Hotel</t>
  </si>
  <si>
    <t>Haji Nawaz Pan Shop</t>
  </si>
  <si>
    <t>Havi Medicine Company</t>
  </si>
  <si>
    <t>03456666352</t>
  </si>
  <si>
    <t>Hussain Farooq</t>
  </si>
  <si>
    <t>03116369298</t>
  </si>
  <si>
    <t>A Raheem Residentia, Faiz Ahmad Park</t>
  </si>
  <si>
    <t>Ibrahim Pharmacy</t>
  </si>
  <si>
    <t>03171867507</t>
  </si>
  <si>
    <t>Ihtisham Ali</t>
  </si>
  <si>
    <t>Lasani Phamacy</t>
  </si>
  <si>
    <t>03005800198</t>
  </si>
  <si>
    <t>Ma Sha ALLAH Super Store</t>
  </si>
  <si>
    <t>Zafarwal Road, Makki Masjid</t>
  </si>
  <si>
    <t>Ma Sha ALLAH Syed Hattii</t>
  </si>
  <si>
    <t>03211660536</t>
  </si>
  <si>
    <t>Madina Karyana Store</t>
  </si>
  <si>
    <t>Old Kuchehry Road, Narowal</t>
  </si>
  <si>
    <t>Mahad Pharmacy</t>
  </si>
  <si>
    <t>Near Women Collage, Narowal</t>
  </si>
  <si>
    <t>Matloob Butt</t>
  </si>
  <si>
    <t>Domala</t>
  </si>
  <si>
    <t>Medina Karyana Store</t>
  </si>
  <si>
    <t>Mian Pharmacy</t>
  </si>
  <si>
    <t>03059620229</t>
  </si>
  <si>
    <t>Mughal Pharmacy</t>
  </si>
  <si>
    <t>+92 314 7955043</t>
  </si>
  <si>
    <t>Muzamil Butt</t>
  </si>
  <si>
    <t>Cheenay Saggal</t>
  </si>
  <si>
    <t>Naveed Burger Shop</t>
  </si>
  <si>
    <t>Pakora Shop Baddomalhi</t>
  </si>
  <si>
    <t>People's Pharmacy</t>
  </si>
  <si>
    <t>Pharmacy Express</t>
  </si>
  <si>
    <t>03216131875</t>
  </si>
  <si>
    <t>Opposite DHQ Hospital</t>
  </si>
  <si>
    <t>Sajjad Sahab</t>
  </si>
  <si>
    <t>Near National Bank, Narowal</t>
  </si>
  <si>
    <t>Sardar Machli Hotel</t>
  </si>
  <si>
    <t>Whole Sale Customer</t>
  </si>
  <si>
    <t xml:space="preserve">Jassar Bypass, Narowal </t>
  </si>
  <si>
    <t>Sauce &amp; Boss Restaurant</t>
  </si>
  <si>
    <t>Kaleem Ullah</t>
  </si>
  <si>
    <t>03141919496</t>
  </si>
  <si>
    <t>Zafarwal Road Near Sadiq Cash &amp; Carry</t>
  </si>
  <si>
    <t>Shamash Butt</t>
  </si>
  <si>
    <t>Shani Burger</t>
  </si>
  <si>
    <t>Sheikh Khalid</t>
  </si>
  <si>
    <t>SM Departmental Store</t>
  </si>
  <si>
    <t>03434373737</t>
  </si>
  <si>
    <t>Near Punjab College, Narowal</t>
  </si>
  <si>
    <t>Talha Maqbool</t>
  </si>
  <si>
    <t>Sardar Talha</t>
  </si>
  <si>
    <t>03076359463</t>
  </si>
  <si>
    <t>Behind FDPP Pharmacy</t>
  </si>
  <si>
    <t>TT Butt Pan Shop</t>
  </si>
  <si>
    <t>+92 322 6463901</t>
  </si>
  <si>
    <t>Opposite Railway Station, Narowal</t>
  </si>
  <si>
    <t>Zahoor Ahmad</t>
  </si>
  <si>
    <t>Zain Pharmacy</t>
  </si>
  <si>
    <t>Near Butt Pharmacy, Circular Road Narowal</t>
  </si>
  <si>
    <t>Zam Zam Store</t>
  </si>
  <si>
    <t>Mohammas Anas</t>
  </si>
  <si>
    <t>03034960338</t>
  </si>
  <si>
    <t>Sialkot Phatak, Narowal</t>
  </si>
  <si>
    <t>Mohammas Anas
Sialkot Phatak, Narowa</t>
  </si>
  <si>
    <t>Item Code</t>
  </si>
  <si>
    <t>Raw Material Item</t>
  </si>
  <si>
    <t>Unit Type</t>
  </si>
  <si>
    <t>Total Purchased / Available Stock</t>
  </si>
  <si>
    <t>Consumed Stock</t>
  </si>
  <si>
    <t>Current Stock Balance</t>
  </si>
  <si>
    <t>Unit Cost (PKR)</t>
  </si>
  <si>
    <t>Total Remaining Valuation (PKR)</t>
  </si>
  <si>
    <t>RM-01</t>
  </si>
  <si>
    <t>500ml Mix Bottle</t>
  </si>
  <si>
    <t>Pcs</t>
  </si>
  <si>
    <t>RM-02</t>
  </si>
  <si>
    <t>1500ml Mix Bottle</t>
  </si>
  <si>
    <t>RM-03</t>
  </si>
  <si>
    <t>500ml Pure Bottle</t>
  </si>
  <si>
    <t>RM-04</t>
  </si>
  <si>
    <t>1500ml Pure Bottle</t>
  </si>
  <si>
    <t>RM-05</t>
  </si>
  <si>
    <t>500ml Label</t>
  </si>
  <si>
    <t>RM-06</t>
  </si>
  <si>
    <t>1500ml Label</t>
  </si>
  <si>
    <t>RM-07</t>
  </si>
  <si>
    <t>500ml Mix Shrink Film</t>
  </si>
  <si>
    <t>RM-08</t>
  </si>
  <si>
    <t>1500ml Mix Shrink Film</t>
  </si>
  <si>
    <t>RM-09</t>
  </si>
  <si>
    <t>500ml Pure Shrink Film</t>
  </si>
  <si>
    <t>RM-10</t>
  </si>
  <si>
    <t>1500ml Pure Shrink Film</t>
  </si>
  <si>
    <t>RM-11</t>
  </si>
  <si>
    <t>Caps (Universal)</t>
  </si>
  <si>
    <t>TOTAL RAW MATERIALS</t>
  </si>
  <si>
    <t>Date</t>
  </si>
  <si>
    <t>Invoice No.</t>
  </si>
  <si>
    <t>Client Name</t>
  </si>
  <si>
    <t>Product Name</t>
  </si>
  <si>
    <t>Quantity (Bundles)</t>
  </si>
  <si>
    <t>Unit Rate (PKR)</t>
  </si>
  <si>
    <t>Discount (PKR)</t>
  </si>
  <si>
    <t>Taxable Amount (PKR)</t>
  </si>
  <si>
    <t>Amount After Tax (PKR)</t>
  </si>
  <si>
    <t>23-08-2026</t>
  </si>
  <si>
    <t>INV2</t>
  </si>
  <si>
    <t>1500 ml Pure PET</t>
  </si>
  <si>
    <t>500 ml Pure PET</t>
  </si>
  <si>
    <t>08-08-2026</t>
  </si>
  <si>
    <t>INV3</t>
  </si>
  <si>
    <t>24-08-2026</t>
  </si>
  <si>
    <t>INV4</t>
  </si>
  <si>
    <t>INV5</t>
  </si>
  <si>
    <t>INV6</t>
  </si>
  <si>
    <t>Overall Invoice</t>
  </si>
  <si>
    <t>INV7</t>
  </si>
  <si>
    <t>21-08-2026</t>
  </si>
  <si>
    <t>INV#8</t>
  </si>
  <si>
    <t>INV#9</t>
  </si>
  <si>
    <t>INV#10</t>
  </si>
  <si>
    <t>INV#11</t>
  </si>
  <si>
    <t>INV#12</t>
  </si>
  <si>
    <t>INV#13</t>
  </si>
  <si>
    <t>500 ml Mix PET</t>
  </si>
  <si>
    <t>1500 ml Mix PET</t>
  </si>
  <si>
    <t>INV#14</t>
  </si>
  <si>
    <t>INV#15</t>
  </si>
  <si>
    <t>INV#16</t>
  </si>
  <si>
    <t>INV#17</t>
  </si>
  <si>
    <t>INV#18</t>
  </si>
  <si>
    <t>INV#19</t>
  </si>
  <si>
    <t>01-09-2026</t>
  </si>
  <si>
    <t>INV#21</t>
  </si>
  <si>
    <t>INV#22</t>
  </si>
  <si>
    <t>03-09-2026</t>
  </si>
  <si>
    <t>INV#23</t>
  </si>
  <si>
    <t>07-09-2026</t>
  </si>
  <si>
    <t>INV#24</t>
  </si>
  <si>
    <t>INV#25</t>
  </si>
  <si>
    <t>08-09-2026</t>
  </si>
  <si>
    <t>INV#26</t>
  </si>
  <si>
    <t>INV#27</t>
  </si>
  <si>
    <t>INV#28</t>
  </si>
  <si>
    <t>INV#29</t>
  </si>
  <si>
    <t>INV#30</t>
  </si>
  <si>
    <t>INV#31</t>
  </si>
  <si>
    <t>INV#32</t>
  </si>
  <si>
    <t>09-09-2026</t>
  </si>
  <si>
    <t>INV#33</t>
  </si>
  <si>
    <t>INV#34</t>
  </si>
  <si>
    <t>10-09-2026</t>
  </si>
  <si>
    <t>INV#35</t>
  </si>
  <si>
    <t>INV#36</t>
  </si>
  <si>
    <t>INV#37</t>
  </si>
  <si>
    <t>INV#38</t>
  </si>
  <si>
    <t>INV#39</t>
  </si>
  <si>
    <t>13-09-2026</t>
  </si>
  <si>
    <t>INV#40</t>
  </si>
  <si>
    <t>15-09-2026</t>
  </si>
  <si>
    <t>INV#41</t>
  </si>
  <si>
    <t>INV#42</t>
  </si>
  <si>
    <t>INV#43</t>
  </si>
  <si>
    <t>17-09-2026</t>
  </si>
  <si>
    <t>INV#44</t>
  </si>
  <si>
    <t>INV#45</t>
  </si>
  <si>
    <t>INV#46</t>
  </si>
  <si>
    <t>INV#47</t>
  </si>
  <si>
    <t>INV#48</t>
  </si>
  <si>
    <t>INV#49</t>
  </si>
  <si>
    <t>INV#50</t>
  </si>
  <si>
    <t>INV#51</t>
  </si>
  <si>
    <t>INV#52</t>
  </si>
  <si>
    <t>INV#53</t>
  </si>
  <si>
    <t>INV#54</t>
  </si>
  <si>
    <t>INV#55</t>
  </si>
  <si>
    <t>INV#56</t>
  </si>
  <si>
    <t>18-09-2026</t>
  </si>
  <si>
    <t>INV#57</t>
  </si>
  <si>
    <t>21-09-2026</t>
  </si>
  <si>
    <t>INV#58</t>
  </si>
  <si>
    <t>29-09-2026</t>
  </si>
  <si>
    <t>INV#59</t>
  </si>
  <si>
    <t>INV#60</t>
  </si>
  <si>
    <t>07-10-2026</t>
  </si>
  <si>
    <t>INV#63</t>
  </si>
  <si>
    <t>INV#65</t>
  </si>
  <si>
    <t>08-10-2026</t>
  </si>
  <si>
    <t>INV#68</t>
  </si>
  <si>
    <t>INV#69</t>
  </si>
  <si>
    <t>INV#70</t>
  </si>
  <si>
    <t>01-10-2026</t>
  </si>
  <si>
    <t>INV#61</t>
  </si>
  <si>
    <t>10-10-2026</t>
  </si>
  <si>
    <t>INV#78</t>
  </si>
  <si>
    <t>INV#79</t>
  </si>
  <si>
    <t>INV#77</t>
  </si>
  <si>
    <t>INV#64</t>
  </si>
  <si>
    <t>INV#66</t>
  </si>
  <si>
    <t>INV#74</t>
  </si>
  <si>
    <t>15-10-2026</t>
  </si>
  <si>
    <t>INV#82</t>
  </si>
  <si>
    <t>INV#83</t>
  </si>
  <si>
    <t>17-10-2026</t>
  </si>
  <si>
    <t>INV#84</t>
  </si>
  <si>
    <t>INV#73</t>
  </si>
  <si>
    <t>14-10-2026</t>
  </si>
  <si>
    <t>INV#81</t>
  </si>
  <si>
    <t>INV#62</t>
  </si>
  <si>
    <t>INV#85</t>
  </si>
  <si>
    <t>18-10-2026</t>
  </si>
  <si>
    <t>INV#86</t>
  </si>
  <si>
    <t>INV#67</t>
  </si>
  <si>
    <t>INV#87</t>
  </si>
  <si>
    <t>INV#76</t>
  </si>
  <si>
    <t>19-10-2026</t>
  </si>
  <si>
    <t>INV#88</t>
  </si>
  <si>
    <t>INV#89</t>
  </si>
  <si>
    <t>20-10-2026</t>
  </si>
  <si>
    <t>INV#91</t>
  </si>
  <si>
    <t>INV#90</t>
  </si>
  <si>
    <t>INV#92</t>
  </si>
  <si>
    <t>INV#80</t>
  </si>
  <si>
    <t>INV#75</t>
  </si>
  <si>
    <t>22-10-2026</t>
  </si>
  <si>
    <t>INV#93</t>
  </si>
  <si>
    <t>TOTAL SALES</t>
  </si>
  <si>
    <t>Product Code / SKU</t>
  </si>
  <si>
    <t>Opening Stock (Bundles)</t>
  </si>
  <si>
    <t>Unit COGS / Buy Rate (PKR)</t>
  </si>
  <si>
    <t>Opening Valuation (PKR)</t>
  </si>
  <si>
    <t>Sold Qty (Bundles)</t>
  </si>
  <si>
    <t>COGS Amount Sold (PKR)</t>
  </si>
  <si>
    <t>Remaining Stock (Bundles)</t>
  </si>
  <si>
    <t>Remaining Stock Valuation (PKR)</t>
  </si>
  <si>
    <t>PROD-01</t>
  </si>
  <si>
    <t>PROD-02</t>
  </si>
  <si>
    <t>PROD-03</t>
  </si>
  <si>
    <t>PROD-04</t>
  </si>
  <si>
    <t>TOTAL INVENTORY VALUATION</t>
  </si>
  <si>
    <t>Month / Period</t>
  </si>
  <si>
    <t>Quantity Sold (Pcs)</t>
  </si>
  <si>
    <t>Total Amount (PKR)</t>
  </si>
  <si>
    <t>Aug 2026</t>
  </si>
  <si>
    <t>Sep 2026</t>
  </si>
  <si>
    <t>Oct 2026</t>
  </si>
  <si>
    <t>TOTAL PRODUCT SALES</t>
  </si>
  <si>
    <t>Entry Code</t>
  </si>
  <si>
    <t>Account / Category</t>
  </si>
  <si>
    <t>Type</t>
  </si>
  <si>
    <t>Plant Operating Expense (PKR)</t>
  </si>
  <si>
    <t>Personal Owner Draw (PKR)</t>
  </si>
  <si>
    <t>Total Outflow (PKR)</t>
  </si>
  <si>
    <t>E#1</t>
  </si>
  <si>
    <t>21 Aug 2026</t>
  </si>
  <si>
    <t>Fuel Cost</t>
  </si>
  <si>
    <t>DIRECT</t>
  </si>
  <si>
    <t>E#2</t>
  </si>
  <si>
    <t>23 Aug 2026</t>
  </si>
  <si>
    <t>E#3</t>
  </si>
  <si>
    <t>24 Aug 2026</t>
  </si>
  <si>
    <t>E#4</t>
  </si>
  <si>
    <t>01 Sep 2026</t>
  </si>
  <si>
    <t>E#5</t>
  </si>
  <si>
    <t>03 Sep 2026</t>
  </si>
  <si>
    <t>E#6</t>
  </si>
  <si>
    <t>07 Sep 2026</t>
  </si>
  <si>
    <t>E#7</t>
  </si>
  <si>
    <t>08 Sep 2026</t>
  </si>
  <si>
    <t>E#8</t>
  </si>
  <si>
    <t>09 Sep 2026</t>
  </si>
  <si>
    <t>E#9</t>
  </si>
  <si>
    <t>E#10</t>
  </si>
  <si>
    <t>10 Sep 2026</t>
  </si>
  <si>
    <t>E#11</t>
  </si>
  <si>
    <t>13 Sep 2026</t>
  </si>
  <si>
    <t>E#12</t>
  </si>
  <si>
    <t>15 Sep 2026</t>
  </si>
  <si>
    <t>E#14</t>
  </si>
  <si>
    <t>17 Sep 2026</t>
  </si>
  <si>
    <t>E#15</t>
  </si>
  <si>
    <t>Profit Deducted</t>
  </si>
  <si>
    <t>INDIRECT</t>
  </si>
  <si>
    <t>E#16</t>
  </si>
  <si>
    <t>20 Sep 2026</t>
  </si>
  <si>
    <t>Electricity Bill</t>
  </si>
  <si>
    <t>E#17</t>
  </si>
  <si>
    <t>29 Sep 2026</t>
  </si>
  <si>
    <t>E#18</t>
  </si>
  <si>
    <t>30 Sep 2026</t>
  </si>
  <si>
    <t>Gas LPG</t>
  </si>
  <si>
    <t>E#19</t>
  </si>
  <si>
    <t>03 Oct 2026</t>
  </si>
  <si>
    <t>E#20</t>
  </si>
  <si>
    <t>07 Oct 2026</t>
  </si>
  <si>
    <t>E#21</t>
  </si>
  <si>
    <t>08 Oct 2026</t>
  </si>
  <si>
    <t>E#22</t>
  </si>
  <si>
    <t>10 Oct 2026</t>
  </si>
  <si>
    <t>E#23</t>
  </si>
  <si>
    <t>14 Oct 2026</t>
  </si>
  <si>
    <t>E#24</t>
  </si>
  <si>
    <t>17 Oct 2026</t>
  </si>
  <si>
    <t>E#25</t>
  </si>
  <si>
    <t>18 Oct 2026</t>
  </si>
  <si>
    <t>Subscriptions</t>
  </si>
  <si>
    <t>E#26</t>
  </si>
  <si>
    <t>E#27</t>
  </si>
  <si>
    <t>E#28</t>
  </si>
  <si>
    <t>20 Oct 2026</t>
  </si>
  <si>
    <t>TOTALS</t>
  </si>
  <si>
    <t>Customer Name</t>
  </si>
  <si>
    <t>Invoice Amount (PKR)</t>
  </si>
  <si>
    <t>Payments Received (PKR)</t>
  </si>
  <si>
    <t>Balance Pending (PKR)</t>
  </si>
  <si>
    <t>TOTAL UNPAID RECEIVABLES</t>
  </si>
  <si>
    <t>Entry ID</t>
  </si>
  <si>
    <t>Expense Account / Description</t>
  </si>
  <si>
    <t>Category Type</t>
  </si>
  <si>
    <t>TOTAL OPERATING EXPENSES</t>
  </si>
  <si>
    <t>Description / Account</t>
  </si>
  <si>
    <t>Amount Withdrawn (PKR)</t>
  </si>
  <si>
    <t>INDIRECT / OWNER DRAW</t>
  </si>
  <si>
    <t>TOTAL OWNER DRAWS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</si>
</sst>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\P\K\R\ #,##0.00"/>
  </numFmts>
  <fonts count="9">
    <font>
      <sz val="11"/>
      <color theme="1"/>
      <name val="Calibri"/>
      <family val="2"/>
      <scheme val="minor"/>
    </font>
    <font>
      <b/>
      <sz val="16"/>
      <color rgb="FF1E293B"/>
      <name val="Calibri"/>
    </font>
    <font>
      <i/>
      <sz val="11"/>
      <color rgb="FF64748B"/>
      <name val="Calibri"/>
    </font>
    <font>
      <b/>
      <sz val="10"/>
      <color rgb="FF475569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b/>
      <sz val="15"/>
      <color rgb="FF0F172A"/>
      <name val="Calibri"/>
    </font>
    <font>
      <i/>
      <sz val="10"/>
      <color rgb="FF47556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1F5F9"/>
        <bgColor rgb="FFF1F5F9"/>
      </patternFill>
    </fill>
    <fill>
      <patternFill patternType="solid">
        <fgColor rgb="FF1E293B"/>
        <bgColor rgb="FF1E293B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5" fillId="0" borderId="1" xfId="0" applyFont="1" applyBorder="1"/>
    <xf numFmtId="4" fontId="5" fillId="0" borderId="1" xfId="0" applyNumberFormat="1" applyFont="1" applyBorder="1" applyAlignment="1">
      <alignment horizontal="right"/>
    </xf>
    <xf numFmtId="0" fontId="6" fillId="4" borderId="1" xfId="0" applyFont="1" applyFill="1" applyBorder="1"/>
    <xf numFmtId="4" fontId="6" fillId="4" borderId="1" xfId="0" applyNumberFormat="1" applyFont="1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4" fontId="0" fillId="5" borderId="1" xfId="0" applyNumberFormat="1" applyFill="1" applyBorder="1"/>
    <xf numFmtId="4" fontId="0" fillId="6" borderId="1" xfId="0" applyNumberFormat="1" applyFill="1" applyBorder="1"/>
    <xf numFmtId="0" fontId="6" fillId="0" borderId="0" xfId="0" applyFont="1"/>
    <xf numFmtId="4" fontId="6" fillId="0" borderId="0" xfId="0" applyNumberFormat="1" applyFont="1"/>
    <xf numFmtId="0" fontId="8" fillId="0" borderId="1" xfId="0" applyFont="1" applyBorder="1"/>
    <xf numFmtId="4" fontId="6" fillId="0" borderId="1" xfId="0" applyNumberFormat="1" applyFont="1" applyBorder="1" applyAlignment="1">
      <alignment horizontal="right"/>
    </xf>
    <xf numFmtId="0" fontId="6" fillId="6" borderId="1" xfId="0" applyFont="1" applyFill="1" applyBorder="1"/>
    <xf numFmtId="4" fontId="6" fillId="6" borderId="1" xfId="0" applyNumberFormat="1" applyFont="1" applyFill="1" applyBorder="1"/>
    <xf numFmtId="165" fontId="7" fillId="2" borderId="1" xfId="0" applyNumberFormat="1" applyFont="1" applyFill="1" applyBorder="1" applyAlignment="1">
      <alignment horizontal="center"/>
    </xf>
    <xf numFmtId="0" fontId="0" fillId="0" borderId="2" xfId="0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workbookViewId="0"/>
  </sheetViews>
  <sheetFormatPr defaultRowHeight="14.5"/>
  <cols>
    <col min="1" max="1" width="12" customWidth="1"/>
    <col min="2" max="2" width="50" customWidth="1"/>
    <col min="3" max="3" width="34" customWidth="1"/>
    <col min="4" max="4" width="12" customWidth="1"/>
    <col min="5" max="5" width="50" customWidth="1"/>
    <col min="6" max="9" width="12" customWidth="1"/>
  </cols>
  <sheetData>
    <row r="2" spans="2:9" ht="21">
      <c r="B2" s="1" t="s">
        <v>0</v>
      </c>
    </row>
    <row r="3" spans="2:9">
      <c r="B3" s="2" t="s">
        <v>1</v>
      </c>
    </row>
    <row r="5" spans="2:9">
      <c r="B5" s="23" t="s">
        <v>2</v>
      </c>
      <c r="C5" s="22"/>
      <c r="E5" s="23" t="s">
        <v>3</v>
      </c>
      <c r="F5" s="22"/>
      <c r="H5" s="23" t="s">
        <v>4</v>
      </c>
      <c r="I5" s="22"/>
    </row>
    <row r="6" spans="2:9" ht="19.5">
      <c r="B6" s="21">
        <v>192320</v>
      </c>
      <c r="C6" s="22"/>
      <c r="E6" s="21">
        <f>Products!G6</f>
        <v>136053.54</v>
      </c>
      <c r="F6" s="22"/>
      <c r="H6" s="21">
        <f>C13</f>
        <v>136053.54</v>
      </c>
      <c r="I6" s="22"/>
    </row>
    <row r="9" spans="2:9">
      <c r="B9" s="3" t="s">
        <v>5</v>
      </c>
      <c r="C9" s="4" t="s">
        <v>6</v>
      </c>
      <c r="E9" s="3" t="s">
        <v>7</v>
      </c>
    </row>
    <row r="10" spans="2:9">
      <c r="B10" s="5" t="s">
        <v>8</v>
      </c>
      <c r="C10" s="6">
        <v>192320</v>
      </c>
      <c r="E10" s="17" t="s">
        <v>9</v>
      </c>
    </row>
    <row r="11" spans="2:9">
      <c r="B11" s="5" t="s">
        <v>10</v>
      </c>
      <c r="C11" s="6">
        <v>-6190</v>
      </c>
      <c r="E11" s="17" t="s">
        <v>11</v>
      </c>
    </row>
    <row r="12" spans="2:9">
      <c r="B12" s="7" t="s">
        <v>12</v>
      </c>
      <c r="C12" s="8">
        <f>C10+C11</f>
        <v>186130</v>
      </c>
      <c r="E12" s="17" t="s">
        <v>13</v>
      </c>
    </row>
    <row r="13" spans="2:9">
      <c r="B13" s="5" t="s">
        <v>14</v>
      </c>
      <c r="C13" s="6">
        <f>Products!G6</f>
        <v>136053.54</v>
      </c>
      <c r="E13" s="17" t="s">
        <v>15</v>
      </c>
    </row>
    <row r="14" spans="2:9">
      <c r="B14" s="7" t="s">
        <v>16</v>
      </c>
      <c r="C14" s="8">
        <f>C12-C13</f>
        <v>50076.459999999992</v>
      </c>
      <c r="E14" s="17" t="s">
        <v>17</v>
      </c>
    </row>
    <row r="15" spans="2:9">
      <c r="B15" s="5" t="s">
        <v>18</v>
      </c>
      <c r="C15" s="6">
        <f>Direct_Operating_Expenses!E27</f>
        <v>11760</v>
      </c>
      <c r="E15" s="17" t="s">
        <v>19</v>
      </c>
    </row>
    <row r="16" spans="2:9">
      <c r="B16" s="7" t="s">
        <v>20</v>
      </c>
      <c r="C16" s="8">
        <f>C14-C15</f>
        <v>38316.459999999992</v>
      </c>
      <c r="E16" s="17" t="s">
        <v>21</v>
      </c>
    </row>
    <row r="17" spans="2:5">
      <c r="B17" t="s">
        <v>22</v>
      </c>
      <c r="C17">
        <f>Owners_Draws!E4</f>
        <v>20350</v>
      </c>
      <c r="E17" t="s">
        <v>23</v>
      </c>
    </row>
    <row r="18" spans="2:5">
      <c r="B18" s="3" t="s">
        <v>24</v>
      </c>
      <c r="C18" s="4">
        <f>C16-C17</f>
        <v>17966.459999999992</v>
      </c>
      <c r="E18" s="3" t="s">
        <v>25</v>
      </c>
    </row>
    <row r="19" spans="2:5">
      <c r="B19" s="5" t="s">
        <v>26</v>
      </c>
      <c r="C19" s="18">
        <f>Unpaid_Invoices!F11</f>
        <v>28470</v>
      </c>
      <c r="E19" s="17" t="s">
        <v>27</v>
      </c>
    </row>
    <row r="20" spans="2:5">
      <c r="B20" s="5" t="s">
        <v>28</v>
      </c>
      <c r="C20" s="18">
        <v>157660</v>
      </c>
      <c r="E20" s="17" t="s">
        <v>29</v>
      </c>
    </row>
    <row r="21" spans="2:5">
      <c r="B21" s="5" t="s">
        <v>30</v>
      </c>
      <c r="C21" s="18">
        <f>Products!I6</f>
        <v>132173.46</v>
      </c>
      <c r="E21" s="17" t="s">
        <v>31</v>
      </c>
    </row>
  </sheetData>
  <mergeCells count="6">
    <mergeCell ref="B6:C6"/>
    <mergeCell ref="E6:F6"/>
    <mergeCell ref="H6:I6"/>
    <mergeCell ref="B5:C5"/>
    <mergeCell ref="E5:F5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4.5"/>
  <cols>
    <col min="1" max="1" width="12" customWidth="1"/>
    <col min="2" max="2" width="28" customWidth="1"/>
    <col min="3" max="3" width="23" customWidth="1"/>
    <col min="4" max="4" width="22" customWidth="1"/>
    <col min="5" max="5" width="19" customWidth="1"/>
    <col min="6" max="6" width="12" customWidth="1"/>
    <col min="7" max="7" width="48" customWidth="1"/>
    <col min="8" max="8" width="12" customWidth="1"/>
    <col min="9" max="9" width="20" customWidth="1"/>
    <col min="10" max="10" width="48" customWidth="1"/>
  </cols>
  <sheetData>
    <row r="1" spans="1:10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</row>
    <row r="2" spans="1:10">
      <c r="A2" s="9">
        <v>1</v>
      </c>
      <c r="B2" s="10" t="s">
        <v>42</v>
      </c>
      <c r="C2" s="10" t="s">
        <v>43</v>
      </c>
      <c r="D2" s="10" t="s">
        <v>44</v>
      </c>
      <c r="E2" s="10" t="s">
        <v>45</v>
      </c>
      <c r="F2" s="10" t="s">
        <v>46</v>
      </c>
      <c r="G2" s="10" t="s">
        <v>47</v>
      </c>
      <c r="H2" s="10" t="s">
        <v>46</v>
      </c>
      <c r="I2" s="10" t="s">
        <v>46</v>
      </c>
      <c r="J2" s="10" t="s">
        <v>48</v>
      </c>
    </row>
    <row r="3" spans="1:10">
      <c r="A3" s="11">
        <v>2</v>
      </c>
      <c r="B3" s="12" t="s">
        <v>49</v>
      </c>
      <c r="C3" s="12" t="s">
        <v>46</v>
      </c>
      <c r="D3" s="12" t="s">
        <v>49</v>
      </c>
      <c r="E3" s="12" t="s">
        <v>50</v>
      </c>
      <c r="F3" s="12" t="s">
        <v>46</v>
      </c>
      <c r="G3" s="12" t="s">
        <v>51</v>
      </c>
      <c r="H3" s="12" t="s">
        <v>46</v>
      </c>
      <c r="I3" s="12" t="s">
        <v>46</v>
      </c>
      <c r="J3" s="12" t="s">
        <v>52</v>
      </c>
    </row>
    <row r="4" spans="1:10">
      <c r="A4" s="9">
        <v>3</v>
      </c>
      <c r="B4" s="10" t="s">
        <v>53</v>
      </c>
      <c r="C4" s="10" t="s">
        <v>46</v>
      </c>
      <c r="D4" s="10" t="s">
        <v>46</v>
      </c>
      <c r="E4" s="10" t="s">
        <v>46</v>
      </c>
      <c r="F4" s="10" t="s">
        <v>46</v>
      </c>
      <c r="G4" s="10" t="s">
        <v>46</v>
      </c>
      <c r="H4" s="10" t="s">
        <v>46</v>
      </c>
      <c r="I4" s="10" t="s">
        <v>46</v>
      </c>
      <c r="J4" s="10" t="s">
        <v>46</v>
      </c>
    </row>
    <row r="5" spans="1:10">
      <c r="A5" s="11">
        <v>4</v>
      </c>
      <c r="B5" s="12" t="s">
        <v>54</v>
      </c>
      <c r="C5" s="12" t="s">
        <v>46</v>
      </c>
      <c r="D5" s="12" t="s">
        <v>46</v>
      </c>
      <c r="E5" s="12" t="s">
        <v>46</v>
      </c>
      <c r="F5" s="12" t="s">
        <v>46</v>
      </c>
      <c r="G5" s="12" t="s">
        <v>55</v>
      </c>
      <c r="H5" s="12" t="s">
        <v>46</v>
      </c>
      <c r="I5" s="12" t="s">
        <v>46</v>
      </c>
      <c r="J5" s="12" t="s">
        <v>46</v>
      </c>
    </row>
    <row r="6" spans="1:10">
      <c r="A6" s="9">
        <v>5</v>
      </c>
      <c r="B6" s="10" t="s">
        <v>56</v>
      </c>
      <c r="C6" s="10" t="s">
        <v>46</v>
      </c>
      <c r="D6" s="10" t="s">
        <v>46</v>
      </c>
      <c r="E6" s="10" t="s">
        <v>57</v>
      </c>
      <c r="F6" s="10" t="s">
        <v>46</v>
      </c>
      <c r="G6" s="10" t="s">
        <v>58</v>
      </c>
      <c r="H6" s="10" t="s">
        <v>46</v>
      </c>
      <c r="I6" s="10" t="s">
        <v>46</v>
      </c>
      <c r="J6" s="10" t="s">
        <v>46</v>
      </c>
    </row>
    <row r="7" spans="1:10">
      <c r="A7" s="11">
        <v>6</v>
      </c>
      <c r="B7" s="12" t="s">
        <v>59</v>
      </c>
      <c r="C7" s="12" t="s">
        <v>46</v>
      </c>
      <c r="D7" s="12" t="s">
        <v>46</v>
      </c>
      <c r="E7" s="12" t="s">
        <v>60</v>
      </c>
      <c r="F7" s="12" t="s">
        <v>46</v>
      </c>
      <c r="G7" s="12" t="s">
        <v>61</v>
      </c>
      <c r="H7" s="12" t="s">
        <v>46</v>
      </c>
      <c r="I7" s="12" t="s">
        <v>46</v>
      </c>
      <c r="J7" s="12" t="s">
        <v>46</v>
      </c>
    </row>
    <row r="8" spans="1:10">
      <c r="A8" s="9">
        <v>7</v>
      </c>
      <c r="B8" s="10" t="s">
        <v>62</v>
      </c>
      <c r="C8" s="10" t="s">
        <v>46</v>
      </c>
      <c r="D8" s="10" t="s">
        <v>63</v>
      </c>
      <c r="E8" s="10" t="s">
        <v>64</v>
      </c>
      <c r="F8" s="10" t="s">
        <v>46</v>
      </c>
      <c r="G8" s="10" t="s">
        <v>65</v>
      </c>
      <c r="H8" s="10" t="s">
        <v>46</v>
      </c>
      <c r="I8" s="10" t="s">
        <v>46</v>
      </c>
      <c r="J8" s="10" t="s">
        <v>46</v>
      </c>
    </row>
    <row r="9" spans="1:10">
      <c r="A9" s="11">
        <v>8</v>
      </c>
      <c r="B9" s="12" t="s">
        <v>66</v>
      </c>
      <c r="C9" s="12" t="s">
        <v>46</v>
      </c>
      <c r="D9" s="12" t="s">
        <v>46</v>
      </c>
      <c r="E9" s="12" t="s">
        <v>46</v>
      </c>
      <c r="F9" s="12" t="s">
        <v>46</v>
      </c>
      <c r="G9" s="12" t="s">
        <v>67</v>
      </c>
      <c r="H9" s="12" t="s">
        <v>46</v>
      </c>
      <c r="I9" s="12" t="s">
        <v>46</v>
      </c>
      <c r="J9" s="12" t="s">
        <v>46</v>
      </c>
    </row>
    <row r="10" spans="1:10">
      <c r="A10" s="9">
        <v>9</v>
      </c>
      <c r="B10" s="10" t="s">
        <v>68</v>
      </c>
      <c r="C10" s="10" t="s">
        <v>46</v>
      </c>
      <c r="D10" s="10" t="s">
        <v>46</v>
      </c>
      <c r="E10" s="10" t="s">
        <v>46</v>
      </c>
      <c r="F10" s="10" t="s">
        <v>46</v>
      </c>
      <c r="G10" s="10" t="s">
        <v>69</v>
      </c>
      <c r="H10" s="10" t="s">
        <v>46</v>
      </c>
      <c r="I10" s="10" t="s">
        <v>46</v>
      </c>
      <c r="J10" s="10" t="s">
        <v>46</v>
      </c>
    </row>
    <row r="11" spans="1:10">
      <c r="A11" s="11">
        <v>10</v>
      </c>
      <c r="B11" s="12" t="s">
        <v>70</v>
      </c>
      <c r="C11" s="12" t="s">
        <v>46</v>
      </c>
      <c r="D11" s="12" t="s">
        <v>46</v>
      </c>
      <c r="E11" s="12" t="s">
        <v>46</v>
      </c>
      <c r="F11" s="12" t="s">
        <v>46</v>
      </c>
      <c r="G11" s="12" t="s">
        <v>71</v>
      </c>
      <c r="H11" s="12" t="s">
        <v>46</v>
      </c>
      <c r="I11" s="12" t="s">
        <v>46</v>
      </c>
      <c r="J11" s="12" t="s">
        <v>46</v>
      </c>
    </row>
    <row r="12" spans="1:10">
      <c r="A12" s="9">
        <v>11</v>
      </c>
      <c r="B12" s="10" t="s">
        <v>72</v>
      </c>
      <c r="C12" s="10" t="s">
        <v>46</v>
      </c>
      <c r="D12" s="10" t="s">
        <v>46</v>
      </c>
      <c r="E12" s="10" t="s">
        <v>73</v>
      </c>
      <c r="F12" s="10" t="s">
        <v>46</v>
      </c>
      <c r="G12" s="10" t="s">
        <v>74</v>
      </c>
      <c r="H12" s="10" t="s">
        <v>46</v>
      </c>
      <c r="I12" s="10" t="s">
        <v>46</v>
      </c>
      <c r="J12" s="10" t="s">
        <v>46</v>
      </c>
    </row>
    <row r="13" spans="1:10">
      <c r="A13" s="11">
        <v>12</v>
      </c>
      <c r="B13" s="12" t="s">
        <v>75</v>
      </c>
      <c r="C13" s="12" t="s">
        <v>46</v>
      </c>
      <c r="D13" s="12" t="s">
        <v>46</v>
      </c>
      <c r="E13" s="12" t="s">
        <v>76</v>
      </c>
      <c r="F13" s="12" t="s">
        <v>46</v>
      </c>
      <c r="G13" s="12" t="s">
        <v>77</v>
      </c>
      <c r="H13" s="12" t="s">
        <v>46</v>
      </c>
      <c r="I13" s="12" t="s">
        <v>46</v>
      </c>
      <c r="J13" s="12" t="s">
        <v>46</v>
      </c>
    </row>
    <row r="14" spans="1:10">
      <c r="A14" s="9">
        <v>13</v>
      </c>
      <c r="B14" s="10" t="s">
        <v>78</v>
      </c>
      <c r="C14" s="10" t="s">
        <v>46</v>
      </c>
      <c r="D14" s="10" t="s">
        <v>46</v>
      </c>
      <c r="E14" s="10" t="s">
        <v>46</v>
      </c>
      <c r="F14" s="10" t="s">
        <v>46</v>
      </c>
      <c r="G14" s="10" t="s">
        <v>79</v>
      </c>
      <c r="H14" s="10" t="s">
        <v>46</v>
      </c>
      <c r="I14" s="10" t="s">
        <v>46</v>
      </c>
      <c r="J14" s="10" t="s">
        <v>46</v>
      </c>
    </row>
    <row r="15" spans="1:10">
      <c r="A15" s="11">
        <v>14</v>
      </c>
      <c r="B15" s="12" t="s">
        <v>80</v>
      </c>
      <c r="C15" s="12" t="s">
        <v>46</v>
      </c>
      <c r="D15" s="12" t="s">
        <v>46</v>
      </c>
      <c r="E15" s="12" t="s">
        <v>46</v>
      </c>
      <c r="F15" s="12" t="s">
        <v>46</v>
      </c>
      <c r="G15" s="12" t="s">
        <v>67</v>
      </c>
      <c r="H15" s="12" t="s">
        <v>46</v>
      </c>
      <c r="I15" s="12" t="s">
        <v>46</v>
      </c>
      <c r="J15" s="12" t="s">
        <v>46</v>
      </c>
    </row>
    <row r="16" spans="1:10">
      <c r="A16" s="9">
        <v>15</v>
      </c>
      <c r="B16" s="10" t="s">
        <v>81</v>
      </c>
      <c r="C16" s="10" t="s">
        <v>46</v>
      </c>
      <c r="D16" s="10" t="s">
        <v>82</v>
      </c>
      <c r="E16" s="10" t="s">
        <v>83</v>
      </c>
      <c r="F16" s="10" t="s">
        <v>46</v>
      </c>
      <c r="G16" s="10" t="s">
        <v>65</v>
      </c>
      <c r="H16" s="10" t="s">
        <v>46</v>
      </c>
      <c r="I16" s="10" t="s">
        <v>46</v>
      </c>
      <c r="J16" s="10" t="s">
        <v>46</v>
      </c>
    </row>
    <row r="17" spans="1:10">
      <c r="A17" s="11">
        <v>16</v>
      </c>
      <c r="B17" s="12" t="s">
        <v>84</v>
      </c>
      <c r="C17" s="12" t="s">
        <v>46</v>
      </c>
      <c r="D17" s="12" t="s">
        <v>46</v>
      </c>
      <c r="E17" s="12" t="s">
        <v>85</v>
      </c>
      <c r="F17" s="12" t="s">
        <v>46</v>
      </c>
      <c r="G17" s="12" t="s">
        <v>86</v>
      </c>
      <c r="H17" s="12" t="s">
        <v>46</v>
      </c>
      <c r="I17" s="12" t="s">
        <v>46</v>
      </c>
      <c r="J17" s="12" t="s">
        <v>46</v>
      </c>
    </row>
    <row r="18" spans="1:10">
      <c r="A18" s="9">
        <v>17</v>
      </c>
      <c r="B18" s="10" t="s">
        <v>87</v>
      </c>
      <c r="C18" s="10" t="s">
        <v>46</v>
      </c>
      <c r="D18" s="10" t="s">
        <v>46</v>
      </c>
      <c r="E18" s="10" t="s">
        <v>46</v>
      </c>
      <c r="F18" s="10" t="s">
        <v>46</v>
      </c>
      <c r="G18" s="10" t="s">
        <v>58</v>
      </c>
      <c r="H18" s="10" t="s">
        <v>46</v>
      </c>
      <c r="I18" s="10" t="s">
        <v>46</v>
      </c>
      <c r="J18" s="10" t="s">
        <v>46</v>
      </c>
    </row>
    <row r="19" spans="1:10">
      <c r="A19" s="11">
        <v>18</v>
      </c>
      <c r="B19" s="12" t="s">
        <v>88</v>
      </c>
      <c r="C19" s="12" t="s">
        <v>46</v>
      </c>
      <c r="D19" s="12" t="s">
        <v>89</v>
      </c>
      <c r="E19" s="12" t="s">
        <v>90</v>
      </c>
      <c r="F19" s="12" t="s">
        <v>46</v>
      </c>
      <c r="G19" s="12" t="s">
        <v>58</v>
      </c>
      <c r="H19" s="12" t="s">
        <v>46</v>
      </c>
      <c r="I19" s="12" t="s">
        <v>46</v>
      </c>
      <c r="J19" s="12" t="s">
        <v>46</v>
      </c>
    </row>
    <row r="20" spans="1:10">
      <c r="A20" s="9">
        <v>19</v>
      </c>
      <c r="B20" s="10" t="s">
        <v>91</v>
      </c>
      <c r="C20" s="10" t="s">
        <v>46</v>
      </c>
      <c r="D20" s="10" t="s">
        <v>46</v>
      </c>
      <c r="E20" s="10" t="s">
        <v>46</v>
      </c>
      <c r="F20" s="10" t="s">
        <v>46</v>
      </c>
      <c r="G20" s="10" t="s">
        <v>92</v>
      </c>
      <c r="H20" s="10" t="s">
        <v>46</v>
      </c>
      <c r="I20" s="10" t="s">
        <v>46</v>
      </c>
      <c r="J20" s="10" t="s">
        <v>46</v>
      </c>
    </row>
    <row r="21" spans="1:10">
      <c r="A21" s="11">
        <v>20</v>
      </c>
      <c r="B21" s="12" t="s">
        <v>93</v>
      </c>
      <c r="C21" s="12" t="s">
        <v>46</v>
      </c>
      <c r="D21" s="12" t="s">
        <v>46</v>
      </c>
      <c r="E21" s="12" t="s">
        <v>94</v>
      </c>
      <c r="F21" s="12" t="s">
        <v>46</v>
      </c>
      <c r="G21" s="12" t="s">
        <v>95</v>
      </c>
      <c r="H21" s="12" t="s">
        <v>46</v>
      </c>
      <c r="I21" s="12" t="s">
        <v>46</v>
      </c>
      <c r="J21" s="12" t="s">
        <v>46</v>
      </c>
    </row>
    <row r="22" spans="1:10">
      <c r="A22" s="9">
        <v>21</v>
      </c>
      <c r="B22" s="10" t="s">
        <v>96</v>
      </c>
      <c r="C22" s="10" t="s">
        <v>46</v>
      </c>
      <c r="D22" s="10" t="s">
        <v>46</v>
      </c>
      <c r="E22" s="10" t="s">
        <v>97</v>
      </c>
      <c r="F22" s="10" t="s">
        <v>46</v>
      </c>
      <c r="G22" s="10" t="s">
        <v>98</v>
      </c>
      <c r="H22" s="10" t="s">
        <v>46</v>
      </c>
      <c r="I22" s="10" t="s">
        <v>46</v>
      </c>
      <c r="J22" s="10" t="s">
        <v>46</v>
      </c>
    </row>
    <row r="23" spans="1:10">
      <c r="A23" s="11">
        <v>22</v>
      </c>
      <c r="B23" s="12" t="s">
        <v>99</v>
      </c>
      <c r="C23" s="12" t="s">
        <v>46</v>
      </c>
      <c r="D23" s="12" t="s">
        <v>46</v>
      </c>
      <c r="E23" s="12" t="s">
        <v>46</v>
      </c>
      <c r="F23" s="12" t="s">
        <v>46</v>
      </c>
      <c r="G23" s="12" t="s">
        <v>100</v>
      </c>
      <c r="H23" s="12" t="s">
        <v>46</v>
      </c>
      <c r="I23" s="12" t="s">
        <v>46</v>
      </c>
      <c r="J23" s="12" t="s">
        <v>46</v>
      </c>
    </row>
    <row r="24" spans="1:10">
      <c r="A24" s="9">
        <v>23</v>
      </c>
      <c r="B24" s="10" t="s">
        <v>101</v>
      </c>
      <c r="C24" s="10" t="s">
        <v>46</v>
      </c>
      <c r="D24" s="10" t="s">
        <v>46</v>
      </c>
      <c r="E24" s="10" t="s">
        <v>102</v>
      </c>
      <c r="F24" s="10" t="s">
        <v>46</v>
      </c>
      <c r="G24" s="10" t="s">
        <v>103</v>
      </c>
      <c r="H24" s="10" t="s">
        <v>46</v>
      </c>
      <c r="I24" s="10" t="s">
        <v>46</v>
      </c>
      <c r="J24" s="10" t="s">
        <v>46</v>
      </c>
    </row>
    <row r="25" spans="1:10">
      <c r="A25" s="11">
        <v>24</v>
      </c>
      <c r="B25" s="12" t="s">
        <v>104</v>
      </c>
      <c r="C25" s="12" t="s">
        <v>46</v>
      </c>
      <c r="D25" s="12" t="s">
        <v>46</v>
      </c>
      <c r="E25" s="12" t="s">
        <v>105</v>
      </c>
      <c r="F25" s="12" t="s">
        <v>46</v>
      </c>
      <c r="G25" s="12" t="s">
        <v>106</v>
      </c>
      <c r="H25" s="12" t="s">
        <v>46</v>
      </c>
      <c r="I25" s="12" t="s">
        <v>46</v>
      </c>
      <c r="J25" s="12" t="s">
        <v>46</v>
      </c>
    </row>
    <row r="26" spans="1:10">
      <c r="A26" s="9">
        <v>25</v>
      </c>
      <c r="B26" s="10" t="s">
        <v>107</v>
      </c>
      <c r="C26" s="10" t="s">
        <v>46</v>
      </c>
      <c r="D26" s="10" t="s">
        <v>108</v>
      </c>
      <c r="E26" s="10" t="s">
        <v>109</v>
      </c>
      <c r="F26" s="10" t="s">
        <v>46</v>
      </c>
      <c r="G26" s="10" t="s">
        <v>110</v>
      </c>
      <c r="H26" s="10" t="s">
        <v>46</v>
      </c>
      <c r="I26" s="10" t="s">
        <v>46</v>
      </c>
      <c r="J26" s="10" t="s">
        <v>46</v>
      </c>
    </row>
    <row r="27" spans="1:10">
      <c r="A27" s="11">
        <v>26</v>
      </c>
      <c r="B27" s="12" t="s">
        <v>111</v>
      </c>
      <c r="C27" s="12" t="s">
        <v>46</v>
      </c>
      <c r="D27" s="12" t="s">
        <v>46</v>
      </c>
      <c r="E27" s="12" t="s">
        <v>46</v>
      </c>
      <c r="F27" s="12" t="s">
        <v>46</v>
      </c>
      <c r="G27" s="12" t="s">
        <v>67</v>
      </c>
      <c r="H27" s="12" t="s">
        <v>46</v>
      </c>
      <c r="I27" s="12" t="s">
        <v>46</v>
      </c>
      <c r="J27" s="12" t="s">
        <v>46</v>
      </c>
    </row>
    <row r="28" spans="1:10">
      <c r="A28" s="9">
        <v>27</v>
      </c>
      <c r="B28" s="10" t="s">
        <v>112</v>
      </c>
      <c r="C28" s="10" t="s">
        <v>46</v>
      </c>
      <c r="D28" s="10" t="s">
        <v>46</v>
      </c>
      <c r="E28" s="10" t="s">
        <v>113</v>
      </c>
      <c r="F28" s="10" t="s">
        <v>46</v>
      </c>
      <c r="G28" s="10" t="s">
        <v>95</v>
      </c>
      <c r="H28" s="10" t="s">
        <v>46</v>
      </c>
      <c r="I28" s="10" t="s">
        <v>46</v>
      </c>
      <c r="J28" s="10" t="s">
        <v>46</v>
      </c>
    </row>
    <row r="29" spans="1:10">
      <c r="A29" s="11">
        <v>28</v>
      </c>
      <c r="B29" s="12" t="s">
        <v>114</v>
      </c>
      <c r="C29" s="12" t="s">
        <v>46</v>
      </c>
      <c r="D29" s="12" t="s">
        <v>46</v>
      </c>
      <c r="E29" s="12" t="s">
        <v>115</v>
      </c>
      <c r="F29" s="12" t="s">
        <v>46</v>
      </c>
      <c r="G29" s="12" t="s">
        <v>116</v>
      </c>
      <c r="H29" s="12" t="s">
        <v>46</v>
      </c>
      <c r="I29" s="12" t="s">
        <v>46</v>
      </c>
      <c r="J29" s="12" t="s">
        <v>46</v>
      </c>
    </row>
    <row r="30" spans="1:10">
      <c r="A30" s="9">
        <v>29</v>
      </c>
      <c r="B30" s="10" t="s">
        <v>117</v>
      </c>
      <c r="C30" s="10" t="s">
        <v>46</v>
      </c>
      <c r="D30" s="10" t="s">
        <v>46</v>
      </c>
      <c r="E30" s="10" t="s">
        <v>118</v>
      </c>
      <c r="F30" s="10" t="s">
        <v>46</v>
      </c>
      <c r="G30" s="10" t="s">
        <v>95</v>
      </c>
      <c r="H30" s="10" t="s">
        <v>46</v>
      </c>
      <c r="I30" s="10" t="s">
        <v>46</v>
      </c>
      <c r="J30" s="10" t="s">
        <v>46</v>
      </c>
    </row>
    <row r="31" spans="1:10">
      <c r="A31" s="11">
        <v>30</v>
      </c>
      <c r="B31" s="12" t="s">
        <v>119</v>
      </c>
      <c r="C31" s="12" t="s">
        <v>46</v>
      </c>
      <c r="D31" s="12" t="s">
        <v>46</v>
      </c>
      <c r="E31" s="12" t="s">
        <v>46</v>
      </c>
      <c r="F31" s="12" t="s">
        <v>46</v>
      </c>
      <c r="G31" s="12" t="s">
        <v>67</v>
      </c>
      <c r="H31" s="12" t="s">
        <v>46</v>
      </c>
      <c r="I31" s="12" t="s">
        <v>46</v>
      </c>
      <c r="J31" s="12" t="s">
        <v>46</v>
      </c>
    </row>
    <row r="32" spans="1:10">
      <c r="A32" s="9">
        <v>31</v>
      </c>
      <c r="B32" s="10" t="s">
        <v>120</v>
      </c>
      <c r="C32" s="10" t="s">
        <v>46</v>
      </c>
      <c r="D32" s="10" t="s">
        <v>46</v>
      </c>
      <c r="E32" s="10" t="s">
        <v>121</v>
      </c>
      <c r="F32" s="10" t="s">
        <v>46</v>
      </c>
      <c r="G32" s="10" t="s">
        <v>95</v>
      </c>
      <c r="H32" s="10" t="s">
        <v>46</v>
      </c>
      <c r="I32" s="10" t="s">
        <v>46</v>
      </c>
      <c r="J32" s="10" t="s">
        <v>46</v>
      </c>
    </row>
    <row r="33" spans="1:10">
      <c r="A33" s="11">
        <v>32</v>
      </c>
      <c r="B33" s="12" t="s">
        <v>122</v>
      </c>
      <c r="C33" s="12" t="s">
        <v>46</v>
      </c>
      <c r="D33" s="12" t="s">
        <v>46</v>
      </c>
      <c r="E33" s="12" t="s">
        <v>46</v>
      </c>
      <c r="F33" s="12" t="s">
        <v>46</v>
      </c>
      <c r="G33" s="12" t="s">
        <v>123</v>
      </c>
      <c r="H33" s="12" t="s">
        <v>46</v>
      </c>
      <c r="I33" s="12" t="s">
        <v>46</v>
      </c>
      <c r="J33" s="12" t="s">
        <v>46</v>
      </c>
    </row>
    <row r="34" spans="1:10">
      <c r="A34" s="9">
        <v>33</v>
      </c>
      <c r="B34" s="10" t="s">
        <v>124</v>
      </c>
      <c r="C34" s="10" t="s">
        <v>46</v>
      </c>
      <c r="D34" s="10" t="s">
        <v>46</v>
      </c>
      <c r="E34" s="10" t="s">
        <v>125</v>
      </c>
      <c r="F34" s="10" t="s">
        <v>46</v>
      </c>
      <c r="G34" s="10" t="s">
        <v>47</v>
      </c>
      <c r="H34" s="10" t="s">
        <v>46</v>
      </c>
      <c r="I34" s="10" t="s">
        <v>46</v>
      </c>
      <c r="J34" s="10" t="s">
        <v>46</v>
      </c>
    </row>
    <row r="35" spans="1:10">
      <c r="A35" s="11">
        <v>34</v>
      </c>
      <c r="B35" s="12" t="s">
        <v>126</v>
      </c>
      <c r="C35" s="12" t="s">
        <v>46</v>
      </c>
      <c r="D35" s="12" t="s">
        <v>46</v>
      </c>
      <c r="E35" s="12" t="s">
        <v>46</v>
      </c>
      <c r="F35" s="12" t="s">
        <v>46</v>
      </c>
      <c r="G35" s="12" t="s">
        <v>127</v>
      </c>
      <c r="H35" s="12" t="s">
        <v>46</v>
      </c>
      <c r="I35" s="12" t="s">
        <v>46</v>
      </c>
      <c r="J35" s="12" t="s">
        <v>46</v>
      </c>
    </row>
    <row r="36" spans="1:10">
      <c r="A36" s="9">
        <v>35</v>
      </c>
      <c r="B36" s="10" t="s">
        <v>128</v>
      </c>
      <c r="C36" s="10" t="s">
        <v>46</v>
      </c>
      <c r="D36" s="10" t="s">
        <v>46</v>
      </c>
      <c r="E36" s="10" t="s">
        <v>46</v>
      </c>
      <c r="F36" s="10" t="s">
        <v>46</v>
      </c>
      <c r="G36" s="10" t="s">
        <v>129</v>
      </c>
      <c r="H36" s="10" t="s">
        <v>46</v>
      </c>
      <c r="I36" s="10" t="s">
        <v>46</v>
      </c>
      <c r="J36" s="10" t="s">
        <v>46</v>
      </c>
    </row>
    <row r="37" spans="1:10">
      <c r="A37" s="11">
        <v>36</v>
      </c>
      <c r="B37" s="12" t="s">
        <v>130</v>
      </c>
      <c r="C37" s="12" t="s">
        <v>46</v>
      </c>
      <c r="D37" s="12" t="s">
        <v>46</v>
      </c>
      <c r="E37" s="12" t="s">
        <v>46</v>
      </c>
      <c r="F37" s="12" t="s">
        <v>46</v>
      </c>
      <c r="G37" s="12" t="s">
        <v>131</v>
      </c>
      <c r="H37" s="12" t="s">
        <v>46</v>
      </c>
      <c r="I37" s="12" t="s">
        <v>46</v>
      </c>
      <c r="J37" s="12" t="s">
        <v>46</v>
      </c>
    </row>
    <row r="38" spans="1:10">
      <c r="A38" s="9">
        <v>37</v>
      </c>
      <c r="B38" s="10" t="s">
        <v>132</v>
      </c>
      <c r="C38" s="10" t="s">
        <v>46</v>
      </c>
      <c r="D38" s="10" t="s">
        <v>46</v>
      </c>
      <c r="E38" s="10" t="s">
        <v>46</v>
      </c>
      <c r="F38" s="10" t="s">
        <v>46</v>
      </c>
      <c r="G38" s="10" t="s">
        <v>127</v>
      </c>
      <c r="H38" s="10" t="s">
        <v>46</v>
      </c>
      <c r="I38" s="10" t="s">
        <v>46</v>
      </c>
      <c r="J38" s="10" t="s">
        <v>46</v>
      </c>
    </row>
    <row r="39" spans="1:10">
      <c r="A39" s="11">
        <v>38</v>
      </c>
      <c r="B39" s="12" t="s">
        <v>133</v>
      </c>
      <c r="C39" s="12" t="s">
        <v>46</v>
      </c>
      <c r="D39" s="12" t="s">
        <v>46</v>
      </c>
      <c r="E39" s="12" t="s">
        <v>134</v>
      </c>
      <c r="F39" s="12" t="s">
        <v>46</v>
      </c>
      <c r="G39" s="12" t="s">
        <v>95</v>
      </c>
      <c r="H39" s="12" t="s">
        <v>46</v>
      </c>
      <c r="I39" s="12" t="s">
        <v>46</v>
      </c>
      <c r="J39" s="12" t="s">
        <v>46</v>
      </c>
    </row>
    <row r="40" spans="1:10">
      <c r="A40" s="9">
        <v>39</v>
      </c>
      <c r="B40" s="10" t="s">
        <v>135</v>
      </c>
      <c r="C40" s="10" t="s">
        <v>46</v>
      </c>
      <c r="D40" s="10" t="s">
        <v>46</v>
      </c>
      <c r="E40" s="10" t="s">
        <v>136</v>
      </c>
      <c r="F40" s="10" t="s">
        <v>46</v>
      </c>
      <c r="G40" s="10" t="s">
        <v>127</v>
      </c>
      <c r="H40" s="10" t="s">
        <v>46</v>
      </c>
      <c r="I40" s="10" t="s">
        <v>46</v>
      </c>
      <c r="J40" s="10" t="s">
        <v>46</v>
      </c>
    </row>
    <row r="41" spans="1:10">
      <c r="A41" s="11">
        <v>40</v>
      </c>
      <c r="B41" s="12" t="s">
        <v>137</v>
      </c>
      <c r="C41" s="12" t="s">
        <v>46</v>
      </c>
      <c r="D41" s="12" t="s">
        <v>46</v>
      </c>
      <c r="E41" s="12" t="s">
        <v>46</v>
      </c>
      <c r="F41" s="12" t="s">
        <v>46</v>
      </c>
      <c r="G41" s="12" t="s">
        <v>138</v>
      </c>
      <c r="H41" s="12" t="s">
        <v>46</v>
      </c>
      <c r="I41" s="12" t="s">
        <v>46</v>
      </c>
      <c r="J41" s="12" t="s">
        <v>46</v>
      </c>
    </row>
    <row r="42" spans="1:10">
      <c r="A42" s="9">
        <v>41</v>
      </c>
      <c r="B42" s="10" t="s">
        <v>139</v>
      </c>
      <c r="C42" s="10" t="s">
        <v>46</v>
      </c>
      <c r="D42" s="10" t="s">
        <v>46</v>
      </c>
      <c r="E42" s="10" t="s">
        <v>46</v>
      </c>
      <c r="F42" s="10" t="s">
        <v>46</v>
      </c>
      <c r="G42" s="10" t="s">
        <v>79</v>
      </c>
      <c r="H42" s="10" t="s">
        <v>46</v>
      </c>
      <c r="I42" s="10" t="s">
        <v>46</v>
      </c>
      <c r="J42" s="10" t="s">
        <v>46</v>
      </c>
    </row>
    <row r="43" spans="1:10">
      <c r="A43" s="11">
        <v>42</v>
      </c>
      <c r="B43" s="12" t="s">
        <v>140</v>
      </c>
      <c r="C43" s="12" t="s">
        <v>46</v>
      </c>
      <c r="D43" s="12" t="s">
        <v>46</v>
      </c>
      <c r="E43" s="12" t="s">
        <v>46</v>
      </c>
      <c r="F43" s="12" t="s">
        <v>46</v>
      </c>
      <c r="G43" s="12" t="s">
        <v>67</v>
      </c>
      <c r="H43" s="12" t="s">
        <v>46</v>
      </c>
      <c r="I43" s="12" t="s">
        <v>46</v>
      </c>
      <c r="J43" s="12" t="s">
        <v>46</v>
      </c>
    </row>
    <row r="44" spans="1:10">
      <c r="A44" s="9">
        <v>43</v>
      </c>
      <c r="B44" s="10" t="s">
        <v>141</v>
      </c>
      <c r="C44" s="10" t="s">
        <v>46</v>
      </c>
      <c r="D44" s="10" t="s">
        <v>46</v>
      </c>
      <c r="E44" s="10" t="s">
        <v>46</v>
      </c>
      <c r="F44" s="10" t="s">
        <v>46</v>
      </c>
      <c r="G44" s="10" t="s">
        <v>98</v>
      </c>
      <c r="H44" s="10" t="s">
        <v>46</v>
      </c>
      <c r="I44" s="10" t="s">
        <v>46</v>
      </c>
      <c r="J44" s="10" t="s">
        <v>46</v>
      </c>
    </row>
    <row r="45" spans="1:10">
      <c r="A45" s="11">
        <v>44</v>
      </c>
      <c r="B45" s="12" t="s">
        <v>142</v>
      </c>
      <c r="C45" s="12" t="s">
        <v>46</v>
      </c>
      <c r="D45" s="12" t="s">
        <v>46</v>
      </c>
      <c r="E45" s="12" t="s">
        <v>143</v>
      </c>
      <c r="F45" s="12" t="s">
        <v>46</v>
      </c>
      <c r="G45" s="12" t="s">
        <v>144</v>
      </c>
      <c r="H45" s="12" t="s">
        <v>46</v>
      </c>
      <c r="I45" s="12" t="s">
        <v>46</v>
      </c>
      <c r="J45" s="12" t="s">
        <v>46</v>
      </c>
    </row>
    <row r="46" spans="1:10">
      <c r="A46" s="9">
        <v>45</v>
      </c>
      <c r="B46" s="10" t="s">
        <v>145</v>
      </c>
      <c r="C46" s="10" t="s">
        <v>46</v>
      </c>
      <c r="D46" s="10" t="s">
        <v>46</v>
      </c>
      <c r="E46" s="10" t="s">
        <v>46</v>
      </c>
      <c r="F46" s="10" t="s">
        <v>46</v>
      </c>
      <c r="G46" s="10" t="s">
        <v>146</v>
      </c>
      <c r="H46" s="10" t="s">
        <v>46</v>
      </c>
      <c r="I46" s="10" t="s">
        <v>46</v>
      </c>
      <c r="J46" s="10" t="s">
        <v>46</v>
      </c>
    </row>
    <row r="47" spans="1:10">
      <c r="A47" s="11">
        <v>46</v>
      </c>
      <c r="B47" s="12" t="s">
        <v>147</v>
      </c>
      <c r="C47" s="12" t="s">
        <v>148</v>
      </c>
      <c r="D47" s="12" t="s">
        <v>46</v>
      </c>
      <c r="E47" s="12" t="s">
        <v>46</v>
      </c>
      <c r="F47" s="12" t="s">
        <v>46</v>
      </c>
      <c r="G47" s="12" t="s">
        <v>149</v>
      </c>
      <c r="H47" s="12" t="s">
        <v>46</v>
      </c>
      <c r="I47" s="12" t="s">
        <v>46</v>
      </c>
      <c r="J47" s="12" t="s">
        <v>46</v>
      </c>
    </row>
    <row r="48" spans="1:10">
      <c r="A48" s="9">
        <v>47</v>
      </c>
      <c r="B48" s="10" t="s">
        <v>150</v>
      </c>
      <c r="C48" s="10" t="s">
        <v>46</v>
      </c>
      <c r="D48" s="10" t="s">
        <v>151</v>
      </c>
      <c r="E48" s="10" t="s">
        <v>152</v>
      </c>
      <c r="F48" s="10" t="s">
        <v>46</v>
      </c>
      <c r="G48" s="10" t="s">
        <v>153</v>
      </c>
      <c r="H48" s="10" t="s">
        <v>46</v>
      </c>
      <c r="I48" s="10" t="s">
        <v>46</v>
      </c>
      <c r="J48" s="10" t="s">
        <v>46</v>
      </c>
    </row>
    <row r="49" spans="1:10">
      <c r="A49" s="11">
        <v>48</v>
      </c>
      <c r="B49" s="12" t="s">
        <v>154</v>
      </c>
      <c r="C49" s="12" t="s">
        <v>46</v>
      </c>
      <c r="D49" s="12" t="s">
        <v>46</v>
      </c>
      <c r="E49" s="12" t="s">
        <v>46</v>
      </c>
      <c r="F49" s="12" t="s">
        <v>46</v>
      </c>
      <c r="G49" s="12" t="s">
        <v>131</v>
      </c>
      <c r="H49" s="12" t="s">
        <v>46</v>
      </c>
      <c r="I49" s="12" t="s">
        <v>46</v>
      </c>
      <c r="J49" s="12" t="s">
        <v>46</v>
      </c>
    </row>
    <row r="50" spans="1:10">
      <c r="A50" s="9">
        <v>49</v>
      </c>
      <c r="B50" s="10" t="s">
        <v>155</v>
      </c>
      <c r="C50" s="10" t="s">
        <v>46</v>
      </c>
      <c r="D50" s="10" t="s">
        <v>46</v>
      </c>
      <c r="E50" s="10" t="s">
        <v>46</v>
      </c>
      <c r="F50" s="10" t="s">
        <v>46</v>
      </c>
      <c r="G50" s="10" t="s">
        <v>67</v>
      </c>
      <c r="H50" s="10" t="s">
        <v>46</v>
      </c>
      <c r="I50" s="10" t="s">
        <v>46</v>
      </c>
      <c r="J50" s="10" t="s">
        <v>46</v>
      </c>
    </row>
    <row r="51" spans="1:10">
      <c r="A51" s="11">
        <v>50</v>
      </c>
      <c r="B51" s="12" t="s">
        <v>156</v>
      </c>
      <c r="C51" s="12" t="s">
        <v>46</v>
      </c>
      <c r="D51" s="12" t="s">
        <v>46</v>
      </c>
      <c r="E51" s="12" t="s">
        <v>46</v>
      </c>
      <c r="F51" s="12" t="s">
        <v>46</v>
      </c>
      <c r="G51" s="12" t="s">
        <v>67</v>
      </c>
      <c r="H51" s="12" t="s">
        <v>46</v>
      </c>
      <c r="I51" s="12" t="s">
        <v>46</v>
      </c>
      <c r="J51" s="12" t="s">
        <v>46</v>
      </c>
    </row>
    <row r="52" spans="1:10">
      <c r="A52" s="9">
        <v>51</v>
      </c>
      <c r="B52" s="10" t="s">
        <v>157</v>
      </c>
      <c r="C52" s="10" t="s">
        <v>46</v>
      </c>
      <c r="D52" s="10" t="s">
        <v>46</v>
      </c>
      <c r="E52" s="10" t="s">
        <v>158</v>
      </c>
      <c r="F52" s="10" t="s">
        <v>46</v>
      </c>
      <c r="G52" s="10" t="s">
        <v>159</v>
      </c>
      <c r="H52" s="10" t="s">
        <v>46</v>
      </c>
      <c r="I52" s="10" t="s">
        <v>46</v>
      </c>
      <c r="J52" s="10" t="s">
        <v>46</v>
      </c>
    </row>
    <row r="53" spans="1:10">
      <c r="A53" s="11">
        <v>52</v>
      </c>
      <c r="B53" s="12" t="s">
        <v>160</v>
      </c>
      <c r="C53" s="12" t="s">
        <v>46</v>
      </c>
      <c r="D53" s="12" t="s">
        <v>161</v>
      </c>
      <c r="E53" s="12" t="s">
        <v>162</v>
      </c>
      <c r="F53" s="12" t="s">
        <v>46</v>
      </c>
      <c r="G53" s="12" t="s">
        <v>163</v>
      </c>
      <c r="H53" s="12" t="s">
        <v>46</v>
      </c>
      <c r="I53" s="12" t="s">
        <v>46</v>
      </c>
      <c r="J53" s="12" t="s">
        <v>46</v>
      </c>
    </row>
    <row r="54" spans="1:10">
      <c r="A54" s="9">
        <v>53</v>
      </c>
      <c r="B54" s="10" t="s">
        <v>164</v>
      </c>
      <c r="C54" s="10" t="s">
        <v>46</v>
      </c>
      <c r="D54" s="10" t="s">
        <v>46</v>
      </c>
      <c r="E54" s="10" t="s">
        <v>165</v>
      </c>
      <c r="F54" s="10" t="s">
        <v>46</v>
      </c>
      <c r="G54" s="10" t="s">
        <v>166</v>
      </c>
      <c r="H54" s="10" t="s">
        <v>46</v>
      </c>
      <c r="I54" s="10" t="s">
        <v>46</v>
      </c>
      <c r="J54" s="10" t="s">
        <v>46</v>
      </c>
    </row>
    <row r="55" spans="1:10">
      <c r="A55" s="11">
        <v>54</v>
      </c>
      <c r="B55" s="12" t="s">
        <v>167</v>
      </c>
      <c r="C55" s="12" t="s">
        <v>46</v>
      </c>
      <c r="D55" s="12" t="s">
        <v>46</v>
      </c>
      <c r="E55" s="12" t="s">
        <v>46</v>
      </c>
      <c r="F55" s="12" t="s">
        <v>46</v>
      </c>
      <c r="G55" s="12" t="s">
        <v>138</v>
      </c>
      <c r="H55" s="12" t="s">
        <v>46</v>
      </c>
      <c r="I55" s="12" t="s">
        <v>46</v>
      </c>
      <c r="J55" s="12" t="s">
        <v>46</v>
      </c>
    </row>
    <row r="56" spans="1:10">
      <c r="A56" s="9">
        <v>55</v>
      </c>
      <c r="B56" s="10" t="s">
        <v>168</v>
      </c>
      <c r="C56" s="10" t="s">
        <v>46</v>
      </c>
      <c r="D56" s="10" t="s">
        <v>46</v>
      </c>
      <c r="E56" s="10" t="s">
        <v>46</v>
      </c>
      <c r="F56" s="10" t="s">
        <v>46</v>
      </c>
      <c r="G56" s="10" t="s">
        <v>169</v>
      </c>
      <c r="H56" s="10" t="s">
        <v>46</v>
      </c>
      <c r="I56" s="10" t="s">
        <v>46</v>
      </c>
      <c r="J56" s="10" t="s">
        <v>46</v>
      </c>
    </row>
    <row r="57" spans="1:10">
      <c r="A57" s="11">
        <v>56</v>
      </c>
      <c r="B57" s="12" t="s">
        <v>170</v>
      </c>
      <c r="C57" s="12" t="s">
        <v>46</v>
      </c>
      <c r="D57" s="12" t="s">
        <v>171</v>
      </c>
      <c r="E57" s="12" t="s">
        <v>172</v>
      </c>
      <c r="F57" s="12" t="s">
        <v>46</v>
      </c>
      <c r="G57" s="12" t="s">
        <v>173</v>
      </c>
      <c r="H57" s="12" t="s">
        <v>46</v>
      </c>
      <c r="I57" s="12" t="s">
        <v>46</v>
      </c>
      <c r="J57" s="12" t="s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C1" workbookViewId="0"/>
  </sheetViews>
  <sheetFormatPr defaultRowHeight="14.5"/>
  <cols>
    <col min="1" max="1" width="13" customWidth="1"/>
    <col min="2" max="2" width="27" customWidth="1"/>
    <col min="3" max="3" width="13" customWidth="1"/>
    <col min="4" max="4" width="37" customWidth="1"/>
    <col min="5" max="5" width="18" customWidth="1"/>
    <col min="6" max="6" width="25" customWidth="1"/>
    <col min="7" max="7" width="19" customWidth="1"/>
    <col min="8" max="8" width="35" customWidth="1"/>
  </cols>
  <sheetData>
    <row r="1" spans="1:8">
      <c r="A1" s="3" t="s">
        <v>175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</row>
    <row r="2" spans="1:8">
      <c r="A2" s="9" t="s">
        <v>183</v>
      </c>
      <c r="B2" s="10" t="s">
        <v>184</v>
      </c>
      <c r="C2" s="9" t="s">
        <v>185</v>
      </c>
      <c r="D2" s="13">
        <v>2400</v>
      </c>
      <c r="E2" s="13">
        <v>360</v>
      </c>
      <c r="F2" s="13">
        <f t="shared" ref="F2:F12" si="0">D2-E2</f>
        <v>2040</v>
      </c>
      <c r="G2" s="13">
        <v>9.23</v>
      </c>
      <c r="H2" s="13">
        <f t="shared" ref="H2:H12" si="1">F2*G2</f>
        <v>18829.2</v>
      </c>
    </row>
    <row r="3" spans="1:8">
      <c r="A3" s="11" t="s">
        <v>186</v>
      </c>
      <c r="B3" s="12" t="s">
        <v>187</v>
      </c>
      <c r="C3" s="11" t="s">
        <v>185</v>
      </c>
      <c r="D3" s="14">
        <v>2100</v>
      </c>
      <c r="E3" s="14">
        <v>414</v>
      </c>
      <c r="F3" s="14">
        <f t="shared" si="0"/>
        <v>1686</v>
      </c>
      <c r="G3" s="14">
        <v>15</v>
      </c>
      <c r="H3" s="14">
        <f t="shared" si="1"/>
        <v>25290</v>
      </c>
    </row>
    <row r="4" spans="1:8">
      <c r="A4" s="9" t="s">
        <v>188</v>
      </c>
      <c r="B4" s="10" t="s">
        <v>189</v>
      </c>
      <c r="C4" s="9" t="s">
        <v>185</v>
      </c>
      <c r="D4" s="13">
        <v>3600</v>
      </c>
      <c r="E4" s="13">
        <v>3192</v>
      </c>
      <c r="F4" s="13">
        <f t="shared" si="0"/>
        <v>408</v>
      </c>
      <c r="G4" s="13">
        <v>13.8</v>
      </c>
      <c r="H4" s="13">
        <f t="shared" si="1"/>
        <v>5630.4000000000005</v>
      </c>
    </row>
    <row r="5" spans="1:8">
      <c r="A5" s="11" t="s">
        <v>190</v>
      </c>
      <c r="B5" s="12" t="s">
        <v>191</v>
      </c>
      <c r="C5" s="11" t="s">
        <v>185</v>
      </c>
      <c r="D5" s="14">
        <v>3000</v>
      </c>
      <c r="E5" s="14">
        <v>1680</v>
      </c>
      <c r="F5" s="14">
        <f t="shared" si="0"/>
        <v>1320</v>
      </c>
      <c r="G5" s="14">
        <v>24</v>
      </c>
      <c r="H5" s="14">
        <f t="shared" si="1"/>
        <v>31680</v>
      </c>
    </row>
    <row r="6" spans="1:8">
      <c r="A6" s="9" t="s">
        <v>192</v>
      </c>
      <c r="B6" s="10" t="s">
        <v>193</v>
      </c>
      <c r="C6" s="9" t="s">
        <v>185</v>
      </c>
      <c r="D6" s="13">
        <v>39979</v>
      </c>
      <c r="E6" s="13">
        <v>3552</v>
      </c>
      <c r="F6" s="13">
        <f t="shared" si="0"/>
        <v>36427</v>
      </c>
      <c r="G6" s="13">
        <v>1.92</v>
      </c>
      <c r="H6" s="13">
        <f t="shared" si="1"/>
        <v>69939.839999999997</v>
      </c>
    </row>
    <row r="7" spans="1:8">
      <c r="A7" s="11" t="s">
        <v>194</v>
      </c>
      <c r="B7" s="12" t="s">
        <v>195</v>
      </c>
      <c r="C7" s="11" t="s">
        <v>185</v>
      </c>
      <c r="D7" s="14">
        <v>16641</v>
      </c>
      <c r="E7" s="14">
        <v>2094</v>
      </c>
      <c r="F7" s="14">
        <f t="shared" si="0"/>
        <v>14547</v>
      </c>
      <c r="G7" s="14">
        <v>4.3</v>
      </c>
      <c r="H7" s="14">
        <f t="shared" si="1"/>
        <v>62552.1</v>
      </c>
    </row>
    <row r="8" spans="1:8">
      <c r="A8" s="9" t="s">
        <v>196</v>
      </c>
      <c r="B8" s="10" t="s">
        <v>197</v>
      </c>
      <c r="C8" s="9" t="s">
        <v>185</v>
      </c>
      <c r="D8" s="13">
        <v>800</v>
      </c>
      <c r="E8" s="13">
        <v>30</v>
      </c>
      <c r="F8" s="13">
        <f t="shared" si="0"/>
        <v>770</v>
      </c>
      <c r="G8" s="13">
        <v>14.1</v>
      </c>
      <c r="H8" s="13">
        <f t="shared" si="1"/>
        <v>10857</v>
      </c>
    </row>
    <row r="9" spans="1:8">
      <c r="A9" s="11" t="s">
        <v>198</v>
      </c>
      <c r="B9" s="12" t="s">
        <v>199</v>
      </c>
      <c r="C9" s="11" t="s">
        <v>185</v>
      </c>
      <c r="D9" s="14">
        <v>790</v>
      </c>
      <c r="E9" s="14">
        <v>69</v>
      </c>
      <c r="F9" s="14">
        <f t="shared" si="0"/>
        <v>721</v>
      </c>
      <c r="G9" s="14">
        <v>15.5</v>
      </c>
      <c r="H9" s="14">
        <f t="shared" si="1"/>
        <v>11175.5</v>
      </c>
    </row>
    <row r="10" spans="1:8">
      <c r="A10" s="9" t="s">
        <v>200</v>
      </c>
      <c r="B10" s="10" t="s">
        <v>201</v>
      </c>
      <c r="C10" s="9" t="s">
        <v>185</v>
      </c>
      <c r="D10" s="13">
        <v>990</v>
      </c>
      <c r="E10" s="13">
        <v>266</v>
      </c>
      <c r="F10" s="13">
        <f t="shared" si="0"/>
        <v>724</v>
      </c>
      <c r="G10" s="13">
        <v>22.6</v>
      </c>
      <c r="H10" s="13">
        <f t="shared" si="1"/>
        <v>16362.400000000001</v>
      </c>
    </row>
    <row r="11" spans="1:8">
      <c r="A11" s="11" t="s">
        <v>202</v>
      </c>
      <c r="B11" s="12" t="s">
        <v>203</v>
      </c>
      <c r="C11" s="11" t="s">
        <v>185</v>
      </c>
      <c r="D11" s="14">
        <v>835</v>
      </c>
      <c r="E11" s="14">
        <v>280</v>
      </c>
      <c r="F11" s="14">
        <f t="shared" si="0"/>
        <v>555</v>
      </c>
      <c r="G11" s="14">
        <v>26.81</v>
      </c>
      <c r="H11" s="14">
        <f t="shared" si="1"/>
        <v>14879.55</v>
      </c>
    </row>
    <row r="12" spans="1:8">
      <c r="A12" s="9" t="s">
        <v>204</v>
      </c>
      <c r="B12" s="10" t="s">
        <v>205</v>
      </c>
      <c r="C12" s="9" t="s">
        <v>185</v>
      </c>
      <c r="D12" s="13">
        <v>16000</v>
      </c>
      <c r="E12" s="13">
        <v>5646</v>
      </c>
      <c r="F12" s="13">
        <f t="shared" si="0"/>
        <v>10354</v>
      </c>
      <c r="G12" s="13">
        <v>2</v>
      </c>
      <c r="H12" s="13">
        <f t="shared" si="1"/>
        <v>20708</v>
      </c>
    </row>
    <row r="13" spans="1:8">
      <c r="B13" s="15" t="s">
        <v>206</v>
      </c>
      <c r="D13" s="16">
        <f>SUM(D2:D12)</f>
        <v>87135</v>
      </c>
      <c r="E13" s="16">
        <f>SUM(E2:E12)</f>
        <v>17583</v>
      </c>
      <c r="F13" s="16">
        <f>SUM(F2:F12)</f>
        <v>69552</v>
      </c>
      <c r="H13" s="16">
        <f>SUM(H2:H12)</f>
        <v>287903.99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topLeftCell="C1" workbookViewId="0">
      <selection activeCell="E197" sqref="E197"/>
    </sheetView>
  </sheetViews>
  <sheetFormatPr defaultRowHeight="14.5"/>
  <cols>
    <col min="1" max="1" width="14" customWidth="1"/>
    <col min="2" max="2" width="15" customWidth="1"/>
    <col min="3" max="3" width="28" customWidth="1"/>
    <col min="4" max="4" width="20" customWidth="1"/>
    <col min="5" max="5" width="22" customWidth="1"/>
    <col min="6" max="6" width="19" customWidth="1"/>
    <col min="7" max="7" width="18" customWidth="1"/>
    <col min="8" max="8" width="24" customWidth="1"/>
    <col min="9" max="9" width="26" customWidth="1"/>
  </cols>
  <sheetData>
    <row r="1" spans="1:9">
      <c r="A1" s="3" t="s">
        <v>207</v>
      </c>
      <c r="B1" s="3" t="s">
        <v>208</v>
      </c>
      <c r="C1" s="3" t="s">
        <v>209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214</v>
      </c>
      <c r="I1" s="3" t="s">
        <v>215</v>
      </c>
    </row>
    <row r="3" spans="1:9">
      <c r="A3" s="11" t="s">
        <v>216</v>
      </c>
      <c r="B3" s="11" t="s">
        <v>217</v>
      </c>
      <c r="C3" s="12" t="s">
        <v>170</v>
      </c>
      <c r="D3" s="12" t="s">
        <v>218</v>
      </c>
      <c r="E3" s="14">
        <v>2</v>
      </c>
      <c r="F3" s="14">
        <v>310</v>
      </c>
      <c r="G3" s="14">
        <v>0</v>
      </c>
      <c r="H3" s="14">
        <v>620</v>
      </c>
      <c r="I3" s="14">
        <v>620</v>
      </c>
    </row>
    <row r="4" spans="1:9">
      <c r="A4" s="9" t="s">
        <v>216</v>
      </c>
      <c r="B4" s="9" t="s">
        <v>217</v>
      </c>
      <c r="C4" s="10" t="s">
        <v>170</v>
      </c>
      <c r="D4" s="10" t="s">
        <v>219</v>
      </c>
      <c r="E4" s="13">
        <v>3</v>
      </c>
      <c r="F4" s="13">
        <v>320</v>
      </c>
      <c r="G4" s="13">
        <v>0</v>
      </c>
      <c r="H4" s="13">
        <v>960</v>
      </c>
      <c r="I4" s="13">
        <v>960</v>
      </c>
    </row>
    <row r="5" spans="1:9">
      <c r="A5" s="11" t="s">
        <v>220</v>
      </c>
      <c r="B5" s="11" t="s">
        <v>221</v>
      </c>
      <c r="C5" s="12" t="s">
        <v>81</v>
      </c>
      <c r="D5" s="12" t="s">
        <v>219</v>
      </c>
      <c r="E5" s="14">
        <v>3</v>
      </c>
      <c r="F5" s="14">
        <v>320</v>
      </c>
      <c r="G5" s="14">
        <v>0</v>
      </c>
      <c r="H5" s="14">
        <v>960</v>
      </c>
      <c r="I5" s="14">
        <v>960</v>
      </c>
    </row>
    <row r="6" spans="1:9">
      <c r="A6" s="9" t="s">
        <v>220</v>
      </c>
      <c r="B6" s="9" t="s">
        <v>221</v>
      </c>
      <c r="C6" s="10" t="s">
        <v>81</v>
      </c>
      <c r="D6" s="10" t="s">
        <v>218</v>
      </c>
      <c r="E6" s="13">
        <v>3</v>
      </c>
      <c r="F6" s="13">
        <v>310</v>
      </c>
      <c r="G6" s="13">
        <v>0</v>
      </c>
      <c r="H6" s="13">
        <v>930</v>
      </c>
      <c r="I6" s="13">
        <v>930</v>
      </c>
    </row>
    <row r="7" spans="1:9">
      <c r="A7" s="11" t="s">
        <v>222</v>
      </c>
      <c r="B7" s="11" t="s">
        <v>223</v>
      </c>
      <c r="C7" s="12" t="s">
        <v>107</v>
      </c>
      <c r="D7" s="12" t="s">
        <v>218</v>
      </c>
      <c r="E7" s="14">
        <v>5</v>
      </c>
      <c r="F7" s="14">
        <v>310</v>
      </c>
      <c r="G7" s="14">
        <v>0</v>
      </c>
      <c r="H7" s="14">
        <v>1550</v>
      </c>
      <c r="I7" s="14">
        <v>1550</v>
      </c>
    </row>
    <row r="8" spans="1:9">
      <c r="A8" s="9" t="s">
        <v>222</v>
      </c>
      <c r="B8" s="9" t="s">
        <v>223</v>
      </c>
      <c r="C8" s="10" t="s">
        <v>107</v>
      </c>
      <c r="D8" s="10" t="s">
        <v>219</v>
      </c>
      <c r="E8" s="13">
        <v>5</v>
      </c>
      <c r="F8" s="13">
        <v>320</v>
      </c>
      <c r="G8" s="13">
        <v>0</v>
      </c>
      <c r="H8" s="13">
        <v>1600</v>
      </c>
      <c r="I8" s="13">
        <v>1600</v>
      </c>
    </row>
    <row r="9" spans="1:9">
      <c r="A9" s="11" t="s">
        <v>222</v>
      </c>
      <c r="B9" s="11" t="s">
        <v>224</v>
      </c>
      <c r="C9" s="12" t="s">
        <v>150</v>
      </c>
      <c r="D9" s="12" t="s">
        <v>218</v>
      </c>
      <c r="E9" s="14">
        <v>5</v>
      </c>
      <c r="F9" s="14">
        <v>310</v>
      </c>
      <c r="G9" s="14">
        <v>0</v>
      </c>
      <c r="H9" s="14">
        <v>1550</v>
      </c>
      <c r="I9" s="14">
        <v>1550</v>
      </c>
    </row>
    <row r="10" spans="1:9">
      <c r="A10" s="9" t="s">
        <v>222</v>
      </c>
      <c r="B10" s="9" t="s">
        <v>224</v>
      </c>
      <c r="C10" s="10" t="s">
        <v>150</v>
      </c>
      <c r="D10" s="10" t="s">
        <v>219</v>
      </c>
      <c r="E10" s="13">
        <v>5</v>
      </c>
      <c r="F10" s="13">
        <v>320</v>
      </c>
      <c r="G10" s="13">
        <v>0</v>
      </c>
      <c r="H10" s="13">
        <v>1600</v>
      </c>
      <c r="I10" s="13">
        <v>1600</v>
      </c>
    </row>
    <row r="11" spans="1:9">
      <c r="A11" s="11" t="s">
        <v>222</v>
      </c>
      <c r="B11" s="11" t="s">
        <v>225</v>
      </c>
      <c r="C11" s="12" t="s">
        <v>160</v>
      </c>
      <c r="D11" s="12" t="s">
        <v>218</v>
      </c>
      <c r="E11" s="14">
        <v>12</v>
      </c>
      <c r="F11" s="14">
        <v>310</v>
      </c>
      <c r="G11" s="14">
        <v>0</v>
      </c>
      <c r="H11" s="14">
        <v>3720</v>
      </c>
      <c r="I11" s="14">
        <v>3720</v>
      </c>
    </row>
    <row r="12" spans="1:9">
      <c r="A12" s="9" t="s">
        <v>222</v>
      </c>
      <c r="B12" s="9" t="s">
        <v>225</v>
      </c>
      <c r="C12" s="10" t="s">
        <v>160</v>
      </c>
      <c r="D12" s="10" t="s">
        <v>226</v>
      </c>
      <c r="E12" s="13">
        <v>0</v>
      </c>
      <c r="F12" s="13">
        <v>0</v>
      </c>
      <c r="G12" s="13">
        <v>120</v>
      </c>
      <c r="H12" s="13">
        <v>0</v>
      </c>
      <c r="I12" s="13">
        <v>-120</v>
      </c>
    </row>
    <row r="13" spans="1:9">
      <c r="A13" s="11" t="s">
        <v>222</v>
      </c>
      <c r="B13" s="11" t="s">
        <v>227</v>
      </c>
      <c r="C13" s="12" t="s">
        <v>88</v>
      </c>
      <c r="D13" s="12" t="s">
        <v>218</v>
      </c>
      <c r="E13" s="14">
        <v>2</v>
      </c>
      <c r="F13" s="14">
        <v>310</v>
      </c>
      <c r="G13" s="14">
        <v>0</v>
      </c>
      <c r="H13" s="14">
        <v>620</v>
      </c>
      <c r="I13" s="14">
        <v>620</v>
      </c>
    </row>
    <row r="14" spans="1:9">
      <c r="A14" s="9" t="s">
        <v>222</v>
      </c>
      <c r="B14" s="9" t="s">
        <v>227</v>
      </c>
      <c r="C14" s="10" t="s">
        <v>88</v>
      </c>
      <c r="D14" s="10" t="s">
        <v>219</v>
      </c>
      <c r="E14" s="13">
        <v>2</v>
      </c>
      <c r="F14" s="13">
        <v>320</v>
      </c>
      <c r="G14" s="13">
        <v>0</v>
      </c>
      <c r="H14" s="13">
        <v>640</v>
      </c>
      <c r="I14" s="13">
        <v>640</v>
      </c>
    </row>
    <row r="15" spans="1:9">
      <c r="A15" s="11" t="s">
        <v>222</v>
      </c>
      <c r="B15" s="11" t="s">
        <v>227</v>
      </c>
      <c r="C15" s="12" t="s">
        <v>88</v>
      </c>
      <c r="D15" s="12" t="s">
        <v>226</v>
      </c>
      <c r="E15" s="14">
        <v>0</v>
      </c>
      <c r="F15" s="14">
        <v>0</v>
      </c>
      <c r="G15" s="14">
        <v>40</v>
      </c>
      <c r="H15" s="14">
        <v>0</v>
      </c>
      <c r="I15" s="14">
        <v>-40</v>
      </c>
    </row>
    <row r="16" spans="1:9">
      <c r="A16" s="9" t="s">
        <v>228</v>
      </c>
      <c r="B16" s="9" t="s">
        <v>229</v>
      </c>
      <c r="C16" s="10" t="s">
        <v>91</v>
      </c>
      <c r="D16" s="10" t="s">
        <v>219</v>
      </c>
      <c r="E16" s="13">
        <v>7</v>
      </c>
      <c r="F16" s="13">
        <v>320</v>
      </c>
      <c r="G16" s="13">
        <v>0</v>
      </c>
      <c r="H16" s="13">
        <v>2240</v>
      </c>
      <c r="I16" s="13">
        <v>2240</v>
      </c>
    </row>
    <row r="17" spans="1:9">
      <c r="A17" s="11" t="s">
        <v>228</v>
      </c>
      <c r="B17" s="11" t="s">
        <v>229</v>
      </c>
      <c r="C17" s="12" t="s">
        <v>91</v>
      </c>
      <c r="D17" s="12" t="s">
        <v>218</v>
      </c>
      <c r="E17" s="14">
        <v>10</v>
      </c>
      <c r="F17" s="14">
        <v>310</v>
      </c>
      <c r="G17" s="14">
        <v>0</v>
      </c>
      <c r="H17" s="14">
        <v>3100</v>
      </c>
      <c r="I17" s="14">
        <v>3100</v>
      </c>
    </row>
    <row r="18" spans="1:9">
      <c r="A18" s="9" t="s">
        <v>216</v>
      </c>
      <c r="B18" s="9" t="s">
        <v>230</v>
      </c>
      <c r="C18" s="10" t="s">
        <v>140</v>
      </c>
      <c r="D18" s="10" t="s">
        <v>218</v>
      </c>
      <c r="E18" s="13">
        <v>2</v>
      </c>
      <c r="F18" s="13">
        <v>310</v>
      </c>
      <c r="G18" s="13">
        <v>0</v>
      </c>
      <c r="H18" s="13">
        <v>620</v>
      </c>
      <c r="I18" s="13">
        <v>620</v>
      </c>
    </row>
    <row r="19" spans="1:9">
      <c r="A19" s="11" t="s">
        <v>216</v>
      </c>
      <c r="B19" s="11" t="s">
        <v>231</v>
      </c>
      <c r="C19" s="12" t="s">
        <v>155</v>
      </c>
      <c r="D19" s="12" t="s">
        <v>219</v>
      </c>
      <c r="E19" s="14">
        <v>2</v>
      </c>
      <c r="F19" s="14">
        <v>320</v>
      </c>
      <c r="G19" s="14">
        <v>0</v>
      </c>
      <c r="H19" s="14">
        <v>640</v>
      </c>
      <c r="I19" s="14">
        <v>640</v>
      </c>
    </row>
    <row r="20" spans="1:9">
      <c r="A20" s="9" t="s">
        <v>216</v>
      </c>
      <c r="B20" s="9" t="s">
        <v>231</v>
      </c>
      <c r="C20" s="10" t="s">
        <v>155</v>
      </c>
      <c r="D20" s="10" t="s">
        <v>218</v>
      </c>
      <c r="E20" s="13">
        <v>2</v>
      </c>
      <c r="F20" s="13">
        <v>310</v>
      </c>
      <c r="G20" s="13">
        <v>0</v>
      </c>
      <c r="H20" s="13">
        <v>620</v>
      </c>
      <c r="I20" s="13">
        <v>620</v>
      </c>
    </row>
    <row r="21" spans="1:9">
      <c r="A21" s="11" t="s">
        <v>228</v>
      </c>
      <c r="B21" s="11" t="s">
        <v>232</v>
      </c>
      <c r="C21" s="12" t="s">
        <v>130</v>
      </c>
      <c r="D21" s="12" t="s">
        <v>219</v>
      </c>
      <c r="E21" s="14">
        <v>5</v>
      </c>
      <c r="F21" s="14">
        <v>320</v>
      </c>
      <c r="G21" s="14">
        <v>0</v>
      </c>
      <c r="H21" s="14">
        <v>1600</v>
      </c>
      <c r="I21" s="14">
        <v>1600</v>
      </c>
    </row>
    <row r="22" spans="1:9">
      <c r="A22" s="9" t="s">
        <v>228</v>
      </c>
      <c r="B22" s="9" t="s">
        <v>232</v>
      </c>
      <c r="C22" s="10" t="s">
        <v>130</v>
      </c>
      <c r="D22" s="10" t="s">
        <v>218</v>
      </c>
      <c r="E22" s="13">
        <v>2</v>
      </c>
      <c r="F22" s="13">
        <v>310</v>
      </c>
      <c r="G22" s="13">
        <v>0</v>
      </c>
      <c r="H22" s="13">
        <v>620</v>
      </c>
      <c r="I22" s="13">
        <v>620</v>
      </c>
    </row>
    <row r="23" spans="1:9">
      <c r="A23" s="11" t="s">
        <v>228</v>
      </c>
      <c r="B23" s="11" t="s">
        <v>233</v>
      </c>
      <c r="C23" s="12" t="s">
        <v>81</v>
      </c>
      <c r="D23" s="12" t="s">
        <v>219</v>
      </c>
      <c r="E23" s="14">
        <v>1</v>
      </c>
      <c r="F23" s="14">
        <v>320</v>
      </c>
      <c r="G23" s="14">
        <v>0</v>
      </c>
      <c r="H23" s="14">
        <v>320</v>
      </c>
      <c r="I23" s="14">
        <v>320</v>
      </c>
    </row>
    <row r="24" spans="1:9">
      <c r="A24" s="9" t="s">
        <v>228</v>
      </c>
      <c r="B24" s="9" t="s">
        <v>234</v>
      </c>
      <c r="C24" s="10" t="s">
        <v>154</v>
      </c>
      <c r="D24" s="10" t="s">
        <v>235</v>
      </c>
      <c r="E24" s="13">
        <v>1</v>
      </c>
      <c r="F24" s="13">
        <v>220</v>
      </c>
      <c r="G24" s="13">
        <v>0</v>
      </c>
      <c r="H24" s="13">
        <v>220</v>
      </c>
      <c r="I24" s="13">
        <v>220</v>
      </c>
    </row>
    <row r="25" spans="1:9">
      <c r="A25" s="11" t="s">
        <v>228</v>
      </c>
      <c r="B25" s="11" t="s">
        <v>234</v>
      </c>
      <c r="C25" s="12" t="s">
        <v>154</v>
      </c>
      <c r="D25" s="12" t="s">
        <v>236</v>
      </c>
      <c r="E25" s="14">
        <v>8</v>
      </c>
      <c r="F25" s="14">
        <v>200</v>
      </c>
      <c r="G25" s="14">
        <v>0</v>
      </c>
      <c r="H25" s="14">
        <v>1600</v>
      </c>
      <c r="I25" s="14">
        <v>1600</v>
      </c>
    </row>
    <row r="26" spans="1:9">
      <c r="A26" s="9" t="s">
        <v>216</v>
      </c>
      <c r="B26" s="9" t="s">
        <v>237</v>
      </c>
      <c r="C26" s="10" t="s">
        <v>80</v>
      </c>
      <c r="D26" s="10" t="s">
        <v>219</v>
      </c>
      <c r="E26" s="13">
        <v>1</v>
      </c>
      <c r="F26" s="13">
        <v>320</v>
      </c>
      <c r="G26" s="13">
        <v>0</v>
      </c>
      <c r="H26" s="13">
        <v>320</v>
      </c>
      <c r="I26" s="13">
        <v>320</v>
      </c>
    </row>
    <row r="27" spans="1:9">
      <c r="A27" s="11" t="s">
        <v>216</v>
      </c>
      <c r="B27" s="11" t="s">
        <v>237</v>
      </c>
      <c r="C27" s="12" t="s">
        <v>80</v>
      </c>
      <c r="D27" s="12" t="s">
        <v>218</v>
      </c>
      <c r="E27" s="14">
        <v>1</v>
      </c>
      <c r="F27" s="14">
        <v>310</v>
      </c>
      <c r="G27" s="14">
        <v>0</v>
      </c>
      <c r="H27" s="14">
        <v>310</v>
      </c>
      <c r="I27" s="14">
        <v>310</v>
      </c>
    </row>
    <row r="28" spans="1:9">
      <c r="A28" s="9" t="s">
        <v>216</v>
      </c>
      <c r="B28" s="9" t="s">
        <v>238</v>
      </c>
      <c r="C28" s="10" t="s">
        <v>53</v>
      </c>
      <c r="D28" s="10" t="s">
        <v>236</v>
      </c>
      <c r="E28" s="13">
        <v>10</v>
      </c>
      <c r="F28" s="13">
        <v>200</v>
      </c>
      <c r="G28" s="13">
        <v>0</v>
      </c>
      <c r="H28" s="13">
        <v>2000</v>
      </c>
      <c r="I28" s="13">
        <v>2000</v>
      </c>
    </row>
    <row r="29" spans="1:9">
      <c r="A29" s="11" t="s">
        <v>216</v>
      </c>
      <c r="B29" s="11" t="s">
        <v>239</v>
      </c>
      <c r="C29" s="12" t="s">
        <v>119</v>
      </c>
      <c r="D29" s="12" t="s">
        <v>236</v>
      </c>
      <c r="E29" s="14">
        <v>20</v>
      </c>
      <c r="F29" s="14">
        <v>200</v>
      </c>
      <c r="G29" s="14">
        <v>0</v>
      </c>
      <c r="H29" s="14">
        <v>4000</v>
      </c>
      <c r="I29" s="14">
        <v>4000</v>
      </c>
    </row>
    <row r="30" spans="1:9">
      <c r="A30" s="9" t="s">
        <v>216</v>
      </c>
      <c r="B30" s="9" t="s">
        <v>240</v>
      </c>
      <c r="C30" s="10" t="s">
        <v>66</v>
      </c>
      <c r="D30" s="10" t="s">
        <v>219</v>
      </c>
      <c r="E30" s="13">
        <v>1</v>
      </c>
      <c r="F30" s="13">
        <v>320</v>
      </c>
      <c r="G30" s="13">
        <v>0</v>
      </c>
      <c r="H30" s="13">
        <v>320</v>
      </c>
      <c r="I30" s="13">
        <v>320</v>
      </c>
    </row>
    <row r="31" spans="1:9">
      <c r="A31" s="11" t="s">
        <v>216</v>
      </c>
      <c r="B31" s="11" t="s">
        <v>240</v>
      </c>
      <c r="C31" s="12" t="s">
        <v>66</v>
      </c>
      <c r="D31" s="12" t="s">
        <v>218</v>
      </c>
      <c r="E31" s="14">
        <v>1</v>
      </c>
      <c r="F31" s="14">
        <v>310</v>
      </c>
      <c r="G31" s="14">
        <v>0</v>
      </c>
      <c r="H31" s="14">
        <v>310</v>
      </c>
      <c r="I31" s="14">
        <v>310</v>
      </c>
    </row>
    <row r="32" spans="1:9">
      <c r="A32" s="9" t="s">
        <v>216</v>
      </c>
      <c r="B32" s="9" t="s">
        <v>241</v>
      </c>
      <c r="C32" s="10" t="s">
        <v>156</v>
      </c>
      <c r="D32" s="10" t="s">
        <v>218</v>
      </c>
      <c r="E32" s="13">
        <v>1</v>
      </c>
      <c r="F32" s="13">
        <v>310</v>
      </c>
      <c r="G32" s="13">
        <v>0</v>
      </c>
      <c r="H32" s="13">
        <v>310</v>
      </c>
      <c r="I32" s="13">
        <v>310</v>
      </c>
    </row>
    <row r="33" spans="1:9">
      <c r="A33" s="11" t="s">
        <v>216</v>
      </c>
      <c r="B33" s="11" t="s">
        <v>242</v>
      </c>
      <c r="C33" s="12" t="s">
        <v>111</v>
      </c>
      <c r="D33" s="12" t="s">
        <v>219</v>
      </c>
      <c r="E33" s="14">
        <v>2</v>
      </c>
      <c r="F33" s="14">
        <v>320</v>
      </c>
      <c r="G33" s="14">
        <v>0</v>
      </c>
      <c r="H33" s="14">
        <v>640</v>
      </c>
      <c r="I33" s="14">
        <v>640</v>
      </c>
    </row>
    <row r="34" spans="1:9">
      <c r="A34" s="9" t="s">
        <v>216</v>
      </c>
      <c r="B34" s="9" t="s">
        <v>242</v>
      </c>
      <c r="C34" s="10" t="s">
        <v>111</v>
      </c>
      <c r="D34" s="10" t="s">
        <v>218</v>
      </c>
      <c r="E34" s="13">
        <v>1</v>
      </c>
      <c r="F34" s="13">
        <v>310</v>
      </c>
      <c r="G34" s="13">
        <v>0</v>
      </c>
      <c r="H34" s="13">
        <v>310</v>
      </c>
      <c r="I34" s="13">
        <v>310</v>
      </c>
    </row>
    <row r="35" spans="1:9">
      <c r="A35" s="11" t="s">
        <v>243</v>
      </c>
      <c r="B35" s="11" t="s">
        <v>244</v>
      </c>
      <c r="C35" s="12" t="s">
        <v>62</v>
      </c>
      <c r="D35" s="12" t="s">
        <v>236</v>
      </c>
      <c r="E35" s="14">
        <v>2</v>
      </c>
      <c r="F35" s="14">
        <v>200</v>
      </c>
      <c r="G35" s="14">
        <v>0</v>
      </c>
      <c r="H35" s="14">
        <v>400</v>
      </c>
      <c r="I35" s="14">
        <v>400</v>
      </c>
    </row>
    <row r="36" spans="1:9">
      <c r="A36" s="9" t="s">
        <v>243</v>
      </c>
      <c r="B36" s="9" t="s">
        <v>244</v>
      </c>
      <c r="C36" s="10" t="s">
        <v>62</v>
      </c>
      <c r="D36" s="10" t="s">
        <v>235</v>
      </c>
      <c r="E36" s="13">
        <v>5</v>
      </c>
      <c r="F36" s="13">
        <v>220</v>
      </c>
      <c r="G36" s="13">
        <v>0</v>
      </c>
      <c r="H36" s="13">
        <v>1100</v>
      </c>
      <c r="I36" s="13">
        <v>1100</v>
      </c>
    </row>
    <row r="37" spans="1:9">
      <c r="A37" s="11" t="s">
        <v>243</v>
      </c>
      <c r="B37" s="11" t="s">
        <v>244</v>
      </c>
      <c r="C37" s="12" t="s">
        <v>62</v>
      </c>
      <c r="D37" s="12" t="s">
        <v>226</v>
      </c>
      <c r="E37" s="14">
        <v>0</v>
      </c>
      <c r="F37" s="14">
        <v>0</v>
      </c>
      <c r="G37" s="14">
        <v>100</v>
      </c>
      <c r="H37" s="14">
        <v>0</v>
      </c>
      <c r="I37" s="14">
        <v>-100</v>
      </c>
    </row>
    <row r="38" spans="1:9">
      <c r="A38" s="9" t="s">
        <v>243</v>
      </c>
      <c r="B38" s="9" t="s">
        <v>245</v>
      </c>
      <c r="C38" s="10" t="s">
        <v>170</v>
      </c>
      <c r="D38" s="10" t="s">
        <v>219</v>
      </c>
      <c r="E38" s="13">
        <v>5</v>
      </c>
      <c r="F38" s="13">
        <v>320</v>
      </c>
      <c r="G38" s="13">
        <v>0</v>
      </c>
      <c r="H38" s="13">
        <v>1600</v>
      </c>
      <c r="I38" s="13">
        <v>1600</v>
      </c>
    </row>
    <row r="39" spans="1:9">
      <c r="A39" s="11" t="s">
        <v>243</v>
      </c>
      <c r="B39" s="11" t="s">
        <v>245</v>
      </c>
      <c r="C39" s="12" t="s">
        <v>170</v>
      </c>
      <c r="D39" s="12" t="s">
        <v>218</v>
      </c>
      <c r="E39" s="14">
        <v>5</v>
      </c>
      <c r="F39" s="14">
        <v>310</v>
      </c>
      <c r="G39" s="14">
        <v>0</v>
      </c>
      <c r="H39" s="14">
        <v>1550</v>
      </c>
      <c r="I39" s="14">
        <v>1550</v>
      </c>
    </row>
    <row r="40" spans="1:9">
      <c r="A40" s="9" t="s">
        <v>246</v>
      </c>
      <c r="B40" s="9" t="s">
        <v>247</v>
      </c>
      <c r="C40" s="10" t="s">
        <v>101</v>
      </c>
      <c r="D40" s="10" t="s">
        <v>218</v>
      </c>
      <c r="E40" s="13">
        <v>2</v>
      </c>
      <c r="F40" s="13">
        <v>310</v>
      </c>
      <c r="G40" s="13">
        <v>0</v>
      </c>
      <c r="H40" s="13">
        <v>620</v>
      </c>
      <c r="I40" s="13">
        <v>620</v>
      </c>
    </row>
    <row r="41" spans="1:9">
      <c r="A41" s="11" t="s">
        <v>246</v>
      </c>
      <c r="B41" s="11" t="s">
        <v>247</v>
      </c>
      <c r="C41" s="12" t="s">
        <v>101</v>
      </c>
      <c r="D41" s="12" t="s">
        <v>219</v>
      </c>
      <c r="E41" s="14">
        <v>2</v>
      </c>
      <c r="F41" s="14">
        <v>320</v>
      </c>
      <c r="G41" s="14">
        <v>0</v>
      </c>
      <c r="H41" s="14">
        <v>640</v>
      </c>
      <c r="I41" s="14">
        <v>640</v>
      </c>
    </row>
    <row r="42" spans="1:9">
      <c r="A42" s="9" t="s">
        <v>248</v>
      </c>
      <c r="B42" s="9" t="s">
        <v>249</v>
      </c>
      <c r="C42" s="10" t="s">
        <v>167</v>
      </c>
      <c r="D42" s="10" t="s">
        <v>235</v>
      </c>
      <c r="E42" s="13">
        <v>2</v>
      </c>
      <c r="F42" s="13">
        <v>220</v>
      </c>
      <c r="G42" s="13">
        <v>0</v>
      </c>
      <c r="H42" s="13">
        <v>440</v>
      </c>
      <c r="I42" s="13">
        <v>440</v>
      </c>
    </row>
    <row r="43" spans="1:9">
      <c r="A43" s="11" t="s">
        <v>248</v>
      </c>
      <c r="B43" s="11" t="s">
        <v>249</v>
      </c>
      <c r="C43" s="12" t="s">
        <v>167</v>
      </c>
      <c r="D43" s="12" t="s">
        <v>236</v>
      </c>
      <c r="E43" s="14">
        <v>2</v>
      </c>
      <c r="F43" s="14">
        <v>200</v>
      </c>
      <c r="G43" s="14">
        <v>0</v>
      </c>
      <c r="H43" s="14">
        <v>400</v>
      </c>
      <c r="I43" s="14">
        <v>400</v>
      </c>
    </row>
    <row r="44" spans="1:9">
      <c r="A44" s="9" t="s">
        <v>248</v>
      </c>
      <c r="B44" s="9" t="s">
        <v>249</v>
      </c>
      <c r="C44" s="10" t="s">
        <v>167</v>
      </c>
      <c r="D44" s="10" t="s">
        <v>226</v>
      </c>
      <c r="E44" s="13">
        <v>0</v>
      </c>
      <c r="F44" s="13">
        <v>0</v>
      </c>
      <c r="G44" s="13">
        <v>80</v>
      </c>
      <c r="H44" s="13">
        <v>0</v>
      </c>
      <c r="I44" s="13">
        <v>-80</v>
      </c>
    </row>
    <row r="45" spans="1:9">
      <c r="A45" s="11" t="s">
        <v>248</v>
      </c>
      <c r="B45" s="11" t="s">
        <v>250</v>
      </c>
      <c r="C45" s="12" t="s">
        <v>107</v>
      </c>
      <c r="D45" s="12" t="s">
        <v>218</v>
      </c>
      <c r="E45" s="14">
        <v>5</v>
      </c>
      <c r="F45" s="14">
        <v>310</v>
      </c>
      <c r="G45" s="14">
        <v>0</v>
      </c>
      <c r="H45" s="14">
        <v>1550</v>
      </c>
      <c r="I45" s="14">
        <v>1550</v>
      </c>
    </row>
    <row r="46" spans="1:9">
      <c r="A46" s="9" t="s">
        <v>251</v>
      </c>
      <c r="B46" s="9" t="s">
        <v>252</v>
      </c>
      <c r="C46" s="10" t="s">
        <v>49</v>
      </c>
      <c r="D46" s="10" t="s">
        <v>219</v>
      </c>
      <c r="E46" s="13">
        <v>2</v>
      </c>
      <c r="F46" s="13">
        <v>320</v>
      </c>
      <c r="G46" s="13">
        <v>0</v>
      </c>
      <c r="H46" s="13">
        <v>640</v>
      </c>
      <c r="I46" s="13">
        <v>640</v>
      </c>
    </row>
    <row r="47" spans="1:9">
      <c r="A47" s="11" t="s">
        <v>251</v>
      </c>
      <c r="B47" s="11" t="s">
        <v>252</v>
      </c>
      <c r="C47" s="12" t="s">
        <v>49</v>
      </c>
      <c r="D47" s="12" t="s">
        <v>218</v>
      </c>
      <c r="E47" s="14">
        <v>2</v>
      </c>
      <c r="F47" s="14">
        <v>310</v>
      </c>
      <c r="G47" s="14">
        <v>0</v>
      </c>
      <c r="H47" s="14">
        <v>620</v>
      </c>
      <c r="I47" s="14">
        <v>620</v>
      </c>
    </row>
    <row r="48" spans="1:9">
      <c r="A48" s="9" t="s">
        <v>251</v>
      </c>
      <c r="B48" s="9" t="s">
        <v>252</v>
      </c>
      <c r="C48" s="10" t="s">
        <v>49</v>
      </c>
      <c r="D48" s="10" t="s">
        <v>226</v>
      </c>
      <c r="E48" s="13">
        <v>0</v>
      </c>
      <c r="F48" s="13">
        <v>0</v>
      </c>
      <c r="G48" s="13">
        <v>60</v>
      </c>
      <c r="H48" s="13">
        <v>0</v>
      </c>
      <c r="I48" s="13">
        <v>-60</v>
      </c>
    </row>
    <row r="49" spans="1:9">
      <c r="A49" s="11" t="s">
        <v>251</v>
      </c>
      <c r="B49" s="11" t="s">
        <v>253</v>
      </c>
      <c r="C49" s="12" t="s">
        <v>78</v>
      </c>
      <c r="D49" s="12" t="s">
        <v>219</v>
      </c>
      <c r="E49" s="14">
        <v>1</v>
      </c>
      <c r="F49" s="14">
        <v>320</v>
      </c>
      <c r="G49" s="14">
        <v>0</v>
      </c>
      <c r="H49" s="14">
        <v>320</v>
      </c>
      <c r="I49" s="14">
        <v>320</v>
      </c>
    </row>
    <row r="50" spans="1:9">
      <c r="A50" s="9" t="s">
        <v>251</v>
      </c>
      <c r="B50" s="9" t="s">
        <v>253</v>
      </c>
      <c r="C50" s="10" t="s">
        <v>78</v>
      </c>
      <c r="D50" s="10" t="s">
        <v>226</v>
      </c>
      <c r="E50" s="13">
        <v>0</v>
      </c>
      <c r="F50" s="13">
        <v>0</v>
      </c>
      <c r="G50" s="13">
        <v>20</v>
      </c>
      <c r="H50" s="13">
        <v>0</v>
      </c>
      <c r="I50" s="13">
        <v>-20</v>
      </c>
    </row>
    <row r="51" spans="1:9">
      <c r="A51" s="11" t="s">
        <v>251</v>
      </c>
      <c r="B51" s="11" t="s">
        <v>254</v>
      </c>
      <c r="C51" s="12" t="s">
        <v>164</v>
      </c>
      <c r="D51" s="12" t="s">
        <v>219</v>
      </c>
      <c r="E51" s="14">
        <v>2</v>
      </c>
      <c r="F51" s="14">
        <v>320</v>
      </c>
      <c r="G51" s="14">
        <v>0</v>
      </c>
      <c r="H51" s="14">
        <v>640</v>
      </c>
      <c r="I51" s="14">
        <v>640</v>
      </c>
    </row>
    <row r="52" spans="1:9">
      <c r="A52" s="9" t="s">
        <v>251</v>
      </c>
      <c r="B52" s="9" t="s">
        <v>254</v>
      </c>
      <c r="C52" s="10" t="s">
        <v>164</v>
      </c>
      <c r="D52" s="10" t="s">
        <v>218</v>
      </c>
      <c r="E52" s="13">
        <v>2</v>
      </c>
      <c r="F52" s="13">
        <v>310</v>
      </c>
      <c r="G52" s="13">
        <v>0</v>
      </c>
      <c r="H52" s="13">
        <v>620</v>
      </c>
      <c r="I52" s="13">
        <v>620</v>
      </c>
    </row>
    <row r="53" spans="1:9">
      <c r="A53" s="11" t="s">
        <v>251</v>
      </c>
      <c r="B53" s="11" t="s">
        <v>254</v>
      </c>
      <c r="C53" s="12" t="s">
        <v>164</v>
      </c>
      <c r="D53" s="12" t="s">
        <v>226</v>
      </c>
      <c r="E53" s="14">
        <v>0</v>
      </c>
      <c r="F53" s="14">
        <v>0</v>
      </c>
      <c r="G53" s="14">
        <v>40</v>
      </c>
      <c r="H53" s="14">
        <v>0</v>
      </c>
      <c r="I53" s="14">
        <v>-40</v>
      </c>
    </row>
    <row r="54" spans="1:9">
      <c r="A54" s="9" t="s">
        <v>251</v>
      </c>
      <c r="B54" s="9" t="s">
        <v>255</v>
      </c>
      <c r="C54" s="10" t="s">
        <v>72</v>
      </c>
      <c r="D54" s="10" t="s">
        <v>218</v>
      </c>
      <c r="E54" s="13">
        <v>1</v>
      </c>
      <c r="F54" s="13">
        <v>310</v>
      </c>
      <c r="G54" s="13">
        <v>0</v>
      </c>
      <c r="H54" s="13">
        <v>310</v>
      </c>
      <c r="I54" s="13">
        <v>310</v>
      </c>
    </row>
    <row r="55" spans="1:9">
      <c r="A55" s="11" t="s">
        <v>251</v>
      </c>
      <c r="B55" s="11" t="s">
        <v>255</v>
      </c>
      <c r="C55" s="12" t="s">
        <v>72</v>
      </c>
      <c r="D55" s="12" t="s">
        <v>219</v>
      </c>
      <c r="E55" s="14">
        <v>1</v>
      </c>
      <c r="F55" s="14">
        <v>320</v>
      </c>
      <c r="G55" s="14">
        <v>0</v>
      </c>
      <c r="H55" s="14">
        <v>320</v>
      </c>
      <c r="I55" s="14">
        <v>320</v>
      </c>
    </row>
    <row r="56" spans="1:9">
      <c r="A56" s="9" t="s">
        <v>251</v>
      </c>
      <c r="B56" s="9" t="s">
        <v>255</v>
      </c>
      <c r="C56" s="10" t="s">
        <v>72</v>
      </c>
      <c r="D56" s="10" t="s">
        <v>226</v>
      </c>
      <c r="E56" s="13">
        <v>0</v>
      </c>
      <c r="F56" s="13">
        <v>0</v>
      </c>
      <c r="G56" s="13">
        <v>30</v>
      </c>
      <c r="H56" s="13">
        <v>0</v>
      </c>
      <c r="I56" s="13">
        <v>-30</v>
      </c>
    </row>
    <row r="57" spans="1:9">
      <c r="A57" s="11" t="s">
        <v>251</v>
      </c>
      <c r="B57" s="11" t="s">
        <v>256</v>
      </c>
      <c r="C57" s="12" t="s">
        <v>96</v>
      </c>
      <c r="D57" s="12" t="s">
        <v>219</v>
      </c>
      <c r="E57" s="14">
        <v>3</v>
      </c>
      <c r="F57" s="14">
        <v>320</v>
      </c>
      <c r="G57" s="14">
        <v>0</v>
      </c>
      <c r="H57" s="14">
        <v>960</v>
      </c>
      <c r="I57" s="14">
        <v>960</v>
      </c>
    </row>
    <row r="58" spans="1:9">
      <c r="A58" s="9" t="s">
        <v>251</v>
      </c>
      <c r="B58" s="9" t="s">
        <v>256</v>
      </c>
      <c r="C58" s="10" t="s">
        <v>96</v>
      </c>
      <c r="D58" s="10" t="s">
        <v>218</v>
      </c>
      <c r="E58" s="13">
        <v>2</v>
      </c>
      <c r="F58" s="13">
        <v>310</v>
      </c>
      <c r="G58" s="13">
        <v>0</v>
      </c>
      <c r="H58" s="13">
        <v>620</v>
      </c>
      <c r="I58" s="13">
        <v>620</v>
      </c>
    </row>
    <row r="59" spans="1:9">
      <c r="A59" s="11" t="s">
        <v>251</v>
      </c>
      <c r="B59" s="11" t="s">
        <v>256</v>
      </c>
      <c r="C59" s="12" t="s">
        <v>96</v>
      </c>
      <c r="D59" s="12" t="s">
        <v>226</v>
      </c>
      <c r="E59" s="14">
        <v>0</v>
      </c>
      <c r="F59" s="14">
        <v>0</v>
      </c>
      <c r="G59" s="14">
        <v>50</v>
      </c>
      <c r="H59" s="14">
        <v>0</v>
      </c>
      <c r="I59" s="14">
        <v>-50</v>
      </c>
    </row>
    <row r="60" spans="1:9">
      <c r="A60" s="9" t="s">
        <v>251</v>
      </c>
      <c r="B60" s="9" t="s">
        <v>257</v>
      </c>
      <c r="C60" s="10" t="s">
        <v>104</v>
      </c>
      <c r="D60" s="10" t="s">
        <v>219</v>
      </c>
      <c r="E60" s="13">
        <v>2</v>
      </c>
      <c r="F60" s="13">
        <v>320</v>
      </c>
      <c r="G60" s="13">
        <v>0</v>
      </c>
      <c r="H60" s="13">
        <v>640</v>
      </c>
      <c r="I60" s="13">
        <v>640</v>
      </c>
    </row>
    <row r="61" spans="1:9">
      <c r="A61" s="11" t="s">
        <v>251</v>
      </c>
      <c r="B61" s="11" t="s">
        <v>257</v>
      </c>
      <c r="C61" s="12" t="s">
        <v>104</v>
      </c>
      <c r="D61" s="12" t="s">
        <v>226</v>
      </c>
      <c r="E61" s="14">
        <v>0</v>
      </c>
      <c r="F61" s="14">
        <v>0</v>
      </c>
      <c r="G61" s="14">
        <v>20</v>
      </c>
      <c r="H61" s="14">
        <v>0</v>
      </c>
      <c r="I61" s="14">
        <v>-20</v>
      </c>
    </row>
    <row r="62" spans="1:9">
      <c r="A62" s="9" t="s">
        <v>251</v>
      </c>
      <c r="B62" s="9" t="s">
        <v>258</v>
      </c>
      <c r="C62" s="10" t="s">
        <v>135</v>
      </c>
      <c r="D62" s="10" t="s">
        <v>219</v>
      </c>
      <c r="E62" s="13">
        <v>2</v>
      </c>
      <c r="F62" s="13">
        <v>320</v>
      </c>
      <c r="G62" s="13">
        <v>0</v>
      </c>
      <c r="H62" s="13">
        <v>640</v>
      </c>
      <c r="I62" s="13">
        <v>640</v>
      </c>
    </row>
    <row r="63" spans="1:9">
      <c r="A63" s="11" t="s">
        <v>251</v>
      </c>
      <c r="B63" s="11" t="s">
        <v>258</v>
      </c>
      <c r="C63" s="12" t="s">
        <v>135</v>
      </c>
      <c r="D63" s="12" t="s">
        <v>226</v>
      </c>
      <c r="E63" s="14">
        <v>0</v>
      </c>
      <c r="F63" s="14">
        <v>0</v>
      </c>
      <c r="G63" s="14">
        <v>20</v>
      </c>
      <c r="H63" s="14">
        <v>0</v>
      </c>
      <c r="I63" s="14">
        <v>-20</v>
      </c>
    </row>
    <row r="64" spans="1:9">
      <c r="A64" s="9" t="s">
        <v>259</v>
      </c>
      <c r="B64" s="9" t="s">
        <v>260</v>
      </c>
      <c r="C64" s="10" t="s">
        <v>114</v>
      </c>
      <c r="D64" s="10" t="s">
        <v>219</v>
      </c>
      <c r="E64" s="13">
        <v>5</v>
      </c>
      <c r="F64" s="13">
        <v>320</v>
      </c>
      <c r="G64" s="13">
        <v>0</v>
      </c>
      <c r="H64" s="13">
        <v>1600</v>
      </c>
      <c r="I64" s="13">
        <v>1600</v>
      </c>
    </row>
    <row r="65" spans="1:9">
      <c r="A65" s="11" t="s">
        <v>259</v>
      </c>
      <c r="B65" s="11" t="s">
        <v>260</v>
      </c>
      <c r="C65" s="12" t="s">
        <v>114</v>
      </c>
      <c r="D65" s="12" t="s">
        <v>218</v>
      </c>
      <c r="E65" s="14">
        <v>10</v>
      </c>
      <c r="F65" s="14">
        <v>310</v>
      </c>
      <c r="G65" s="14">
        <v>0</v>
      </c>
      <c r="H65" s="14">
        <v>3100</v>
      </c>
      <c r="I65" s="14">
        <v>3100</v>
      </c>
    </row>
    <row r="66" spans="1:9">
      <c r="A66" s="9" t="s">
        <v>259</v>
      </c>
      <c r="B66" s="9" t="s">
        <v>260</v>
      </c>
      <c r="C66" s="10" t="s">
        <v>114</v>
      </c>
      <c r="D66" s="10" t="s">
        <v>226</v>
      </c>
      <c r="E66" s="13">
        <v>0</v>
      </c>
      <c r="F66" s="13">
        <v>0</v>
      </c>
      <c r="G66" s="13">
        <v>400</v>
      </c>
      <c r="H66" s="13">
        <v>0</v>
      </c>
      <c r="I66" s="13">
        <v>-400</v>
      </c>
    </row>
    <row r="67" spans="1:9">
      <c r="A67" s="11" t="s">
        <v>259</v>
      </c>
      <c r="B67" s="11" t="s">
        <v>261</v>
      </c>
      <c r="C67" s="12" t="s">
        <v>42</v>
      </c>
      <c r="D67" s="12" t="s">
        <v>219</v>
      </c>
      <c r="E67" s="14">
        <v>5</v>
      </c>
      <c r="F67" s="14">
        <v>320</v>
      </c>
      <c r="G67" s="14">
        <v>0</v>
      </c>
      <c r="H67" s="14">
        <v>1600</v>
      </c>
      <c r="I67" s="14">
        <v>1600</v>
      </c>
    </row>
    <row r="68" spans="1:9">
      <c r="A68" s="9" t="s">
        <v>259</v>
      </c>
      <c r="B68" s="9" t="s">
        <v>261</v>
      </c>
      <c r="C68" s="10" t="s">
        <v>42</v>
      </c>
      <c r="D68" s="10" t="s">
        <v>218</v>
      </c>
      <c r="E68" s="13">
        <v>10</v>
      </c>
      <c r="F68" s="13">
        <v>310</v>
      </c>
      <c r="G68" s="13">
        <v>0</v>
      </c>
      <c r="H68" s="13">
        <v>3100</v>
      </c>
      <c r="I68" s="13">
        <v>3100</v>
      </c>
    </row>
    <row r="69" spans="1:9">
      <c r="A69" s="11" t="s">
        <v>259</v>
      </c>
      <c r="B69" s="11" t="s">
        <v>261</v>
      </c>
      <c r="C69" s="12" t="s">
        <v>42</v>
      </c>
      <c r="D69" s="12" t="s">
        <v>226</v>
      </c>
      <c r="E69" s="14">
        <v>0</v>
      </c>
      <c r="F69" s="14">
        <v>0</v>
      </c>
      <c r="G69" s="14">
        <v>400</v>
      </c>
      <c r="H69" s="14">
        <v>0</v>
      </c>
      <c r="I69" s="14">
        <v>-400</v>
      </c>
    </row>
    <row r="70" spans="1:9">
      <c r="A70" s="9" t="s">
        <v>262</v>
      </c>
      <c r="B70" s="9" t="s">
        <v>263</v>
      </c>
      <c r="C70" s="10" t="s">
        <v>93</v>
      </c>
      <c r="D70" s="10" t="s">
        <v>219</v>
      </c>
      <c r="E70" s="13">
        <v>4</v>
      </c>
      <c r="F70" s="13">
        <v>320</v>
      </c>
      <c r="G70" s="13">
        <v>0</v>
      </c>
      <c r="H70" s="13">
        <v>1280</v>
      </c>
      <c r="I70" s="13">
        <v>1280</v>
      </c>
    </row>
    <row r="71" spans="1:9">
      <c r="A71" s="11" t="s">
        <v>262</v>
      </c>
      <c r="B71" s="11" t="s">
        <v>263</v>
      </c>
      <c r="C71" s="12" t="s">
        <v>93</v>
      </c>
      <c r="D71" s="12" t="s">
        <v>218</v>
      </c>
      <c r="E71" s="14">
        <v>4</v>
      </c>
      <c r="F71" s="14">
        <v>310</v>
      </c>
      <c r="G71" s="14">
        <v>0</v>
      </c>
      <c r="H71" s="14">
        <v>1240</v>
      </c>
      <c r="I71" s="14">
        <v>1240</v>
      </c>
    </row>
    <row r="72" spans="1:9">
      <c r="A72" s="9" t="s">
        <v>262</v>
      </c>
      <c r="B72" s="9" t="s">
        <v>264</v>
      </c>
      <c r="C72" s="10" t="s">
        <v>120</v>
      </c>
      <c r="D72" s="10" t="s">
        <v>219</v>
      </c>
      <c r="E72" s="13">
        <v>3</v>
      </c>
      <c r="F72" s="13">
        <v>320</v>
      </c>
      <c r="G72" s="13">
        <v>0</v>
      </c>
      <c r="H72" s="13">
        <v>960</v>
      </c>
      <c r="I72" s="13">
        <v>960</v>
      </c>
    </row>
    <row r="73" spans="1:9">
      <c r="A73" s="11" t="s">
        <v>262</v>
      </c>
      <c r="B73" s="11" t="s">
        <v>264</v>
      </c>
      <c r="C73" s="12" t="s">
        <v>120</v>
      </c>
      <c r="D73" s="12" t="s">
        <v>218</v>
      </c>
      <c r="E73" s="14">
        <v>3</v>
      </c>
      <c r="F73" s="14">
        <v>310</v>
      </c>
      <c r="G73" s="14">
        <v>0</v>
      </c>
      <c r="H73" s="14">
        <v>930</v>
      </c>
      <c r="I73" s="14">
        <v>930</v>
      </c>
    </row>
    <row r="74" spans="1:9">
      <c r="A74" s="9" t="s">
        <v>262</v>
      </c>
      <c r="B74" s="9" t="s">
        <v>265</v>
      </c>
      <c r="C74" s="10" t="s">
        <v>133</v>
      </c>
      <c r="D74" s="10" t="s">
        <v>219</v>
      </c>
      <c r="E74" s="13">
        <v>1</v>
      </c>
      <c r="F74" s="13">
        <v>320</v>
      </c>
      <c r="G74" s="13">
        <v>0</v>
      </c>
      <c r="H74" s="13">
        <v>320</v>
      </c>
      <c r="I74" s="13">
        <v>320</v>
      </c>
    </row>
    <row r="75" spans="1:9">
      <c r="A75" s="11" t="s">
        <v>262</v>
      </c>
      <c r="B75" s="11" t="s">
        <v>265</v>
      </c>
      <c r="C75" s="12" t="s">
        <v>133</v>
      </c>
      <c r="D75" s="12" t="s">
        <v>218</v>
      </c>
      <c r="E75" s="14">
        <v>1</v>
      </c>
      <c r="F75" s="14">
        <v>310</v>
      </c>
      <c r="G75" s="14">
        <v>0</v>
      </c>
      <c r="H75" s="14">
        <v>310</v>
      </c>
      <c r="I75" s="14">
        <v>310</v>
      </c>
    </row>
    <row r="76" spans="1:9">
      <c r="A76" s="9" t="s">
        <v>262</v>
      </c>
      <c r="B76" s="9" t="s">
        <v>266</v>
      </c>
      <c r="C76" s="10" t="s">
        <v>117</v>
      </c>
      <c r="D76" s="10" t="s">
        <v>219</v>
      </c>
      <c r="E76" s="13">
        <v>6</v>
      </c>
      <c r="F76" s="13">
        <v>320</v>
      </c>
      <c r="G76" s="13">
        <v>0</v>
      </c>
      <c r="H76" s="13">
        <v>1920</v>
      </c>
      <c r="I76" s="13">
        <v>1920</v>
      </c>
    </row>
    <row r="77" spans="1:9">
      <c r="A77" s="11" t="s">
        <v>262</v>
      </c>
      <c r="B77" s="11" t="s">
        <v>266</v>
      </c>
      <c r="C77" s="12" t="s">
        <v>117</v>
      </c>
      <c r="D77" s="12" t="s">
        <v>218</v>
      </c>
      <c r="E77" s="14">
        <v>6</v>
      </c>
      <c r="F77" s="14">
        <v>310</v>
      </c>
      <c r="G77" s="14">
        <v>0</v>
      </c>
      <c r="H77" s="14">
        <v>1860</v>
      </c>
      <c r="I77" s="14">
        <v>1860</v>
      </c>
    </row>
    <row r="78" spans="1:9">
      <c r="A78" s="9" t="s">
        <v>262</v>
      </c>
      <c r="B78" s="9" t="s">
        <v>267</v>
      </c>
      <c r="C78" s="10" t="s">
        <v>112</v>
      </c>
      <c r="D78" s="10" t="s">
        <v>219</v>
      </c>
      <c r="E78" s="13">
        <v>2</v>
      </c>
      <c r="F78" s="13">
        <v>320</v>
      </c>
      <c r="G78" s="13">
        <v>0</v>
      </c>
      <c r="H78" s="13">
        <v>640</v>
      </c>
      <c r="I78" s="13">
        <v>640</v>
      </c>
    </row>
    <row r="79" spans="1:9">
      <c r="A79" s="11" t="s">
        <v>262</v>
      </c>
      <c r="B79" s="11" t="s">
        <v>267</v>
      </c>
      <c r="C79" s="12" t="s">
        <v>112</v>
      </c>
      <c r="D79" s="12" t="s">
        <v>218</v>
      </c>
      <c r="E79" s="14">
        <v>2</v>
      </c>
      <c r="F79" s="14">
        <v>310</v>
      </c>
      <c r="G79" s="14">
        <v>0</v>
      </c>
      <c r="H79" s="14">
        <v>620</v>
      </c>
      <c r="I79" s="14">
        <v>620</v>
      </c>
    </row>
    <row r="80" spans="1:9">
      <c r="A80" s="9" t="s">
        <v>268</v>
      </c>
      <c r="B80" s="9" t="s">
        <v>269</v>
      </c>
      <c r="C80" s="10" t="s">
        <v>120</v>
      </c>
      <c r="D80" s="10" t="s">
        <v>219</v>
      </c>
      <c r="E80" s="13">
        <v>6</v>
      </c>
      <c r="F80" s="13">
        <v>320</v>
      </c>
      <c r="G80" s="13">
        <v>0</v>
      </c>
      <c r="H80" s="13">
        <v>1920</v>
      </c>
      <c r="I80" s="13">
        <v>1920</v>
      </c>
    </row>
    <row r="81" spans="1:9">
      <c r="A81" s="11" t="s">
        <v>268</v>
      </c>
      <c r="B81" s="11" t="s">
        <v>269</v>
      </c>
      <c r="C81" s="12" t="s">
        <v>120</v>
      </c>
      <c r="D81" s="12" t="s">
        <v>218</v>
      </c>
      <c r="E81" s="14">
        <v>6</v>
      </c>
      <c r="F81" s="14">
        <v>310</v>
      </c>
      <c r="G81" s="14">
        <v>0</v>
      </c>
      <c r="H81" s="14">
        <v>1860</v>
      </c>
      <c r="I81" s="14">
        <v>1860</v>
      </c>
    </row>
    <row r="82" spans="1:9">
      <c r="A82" s="9" t="s">
        <v>268</v>
      </c>
      <c r="B82" s="9" t="s">
        <v>269</v>
      </c>
      <c r="C82" s="10" t="s">
        <v>120</v>
      </c>
      <c r="D82" s="10" t="s">
        <v>226</v>
      </c>
      <c r="E82" s="13">
        <v>0</v>
      </c>
      <c r="F82" s="13">
        <v>0</v>
      </c>
      <c r="G82" s="13">
        <v>120</v>
      </c>
      <c r="H82" s="13">
        <v>0</v>
      </c>
      <c r="I82" s="13">
        <v>-120</v>
      </c>
    </row>
    <row r="83" spans="1:9">
      <c r="A83" s="11" t="s">
        <v>270</v>
      </c>
      <c r="B83" s="11" t="s">
        <v>271</v>
      </c>
      <c r="C83" s="12" t="s">
        <v>164</v>
      </c>
      <c r="D83" s="12" t="s">
        <v>219</v>
      </c>
      <c r="E83" s="14">
        <v>2</v>
      </c>
      <c r="F83" s="14">
        <v>320</v>
      </c>
      <c r="G83" s="14">
        <v>0</v>
      </c>
      <c r="H83" s="14">
        <v>640</v>
      </c>
      <c r="I83" s="14">
        <v>640</v>
      </c>
    </row>
    <row r="84" spans="1:9">
      <c r="A84" s="9" t="s">
        <v>270</v>
      </c>
      <c r="B84" s="9" t="s">
        <v>271</v>
      </c>
      <c r="C84" s="10" t="s">
        <v>164</v>
      </c>
      <c r="D84" s="10" t="s">
        <v>218</v>
      </c>
      <c r="E84" s="13">
        <v>2</v>
      </c>
      <c r="F84" s="13">
        <v>310</v>
      </c>
      <c r="G84" s="13">
        <v>0</v>
      </c>
      <c r="H84" s="13">
        <v>620</v>
      </c>
      <c r="I84" s="13">
        <v>620</v>
      </c>
    </row>
    <row r="85" spans="1:9">
      <c r="A85" s="11" t="s">
        <v>270</v>
      </c>
      <c r="B85" s="11" t="s">
        <v>271</v>
      </c>
      <c r="C85" s="12" t="s">
        <v>164</v>
      </c>
      <c r="D85" s="12" t="s">
        <v>226</v>
      </c>
      <c r="E85" s="14">
        <v>0</v>
      </c>
      <c r="F85" s="14">
        <v>0</v>
      </c>
      <c r="G85" s="14">
        <v>40</v>
      </c>
      <c r="H85" s="14">
        <v>0</v>
      </c>
      <c r="I85" s="14">
        <v>-40</v>
      </c>
    </row>
    <row r="86" spans="1:9">
      <c r="A86" s="9" t="s">
        <v>270</v>
      </c>
      <c r="B86" s="9" t="s">
        <v>272</v>
      </c>
      <c r="C86" s="10" t="s">
        <v>150</v>
      </c>
      <c r="D86" s="10" t="s">
        <v>219</v>
      </c>
      <c r="E86" s="13">
        <v>2</v>
      </c>
      <c r="F86" s="13">
        <v>320</v>
      </c>
      <c r="G86" s="13">
        <v>0</v>
      </c>
      <c r="H86" s="13">
        <v>640</v>
      </c>
      <c r="I86" s="13">
        <v>640</v>
      </c>
    </row>
    <row r="87" spans="1:9">
      <c r="A87" s="11" t="s">
        <v>270</v>
      </c>
      <c r="B87" s="11" t="s">
        <v>272</v>
      </c>
      <c r="C87" s="12" t="s">
        <v>150</v>
      </c>
      <c r="D87" s="12" t="s">
        <v>218</v>
      </c>
      <c r="E87" s="14">
        <v>4</v>
      </c>
      <c r="F87" s="14">
        <v>310</v>
      </c>
      <c r="G87" s="14">
        <v>0</v>
      </c>
      <c r="H87" s="14">
        <v>1240</v>
      </c>
      <c r="I87" s="14">
        <v>1240</v>
      </c>
    </row>
    <row r="88" spans="1:9">
      <c r="A88" s="9" t="s">
        <v>270</v>
      </c>
      <c r="B88" s="9" t="s">
        <v>272</v>
      </c>
      <c r="C88" s="10" t="s">
        <v>150</v>
      </c>
      <c r="D88" s="10" t="s">
        <v>226</v>
      </c>
      <c r="E88" s="13">
        <v>0</v>
      </c>
      <c r="F88" s="13">
        <v>0</v>
      </c>
      <c r="G88" s="13">
        <v>60</v>
      </c>
      <c r="H88" s="13">
        <v>0</v>
      </c>
      <c r="I88" s="13">
        <v>-60</v>
      </c>
    </row>
    <row r="89" spans="1:9">
      <c r="A89" s="11" t="s">
        <v>270</v>
      </c>
      <c r="B89" s="11" t="s">
        <v>273</v>
      </c>
      <c r="C89" s="12" t="s">
        <v>56</v>
      </c>
      <c r="D89" s="12" t="s">
        <v>219</v>
      </c>
      <c r="E89" s="14">
        <v>2</v>
      </c>
      <c r="F89" s="14">
        <v>320</v>
      </c>
      <c r="G89" s="14">
        <v>0</v>
      </c>
      <c r="H89" s="14">
        <v>640</v>
      </c>
      <c r="I89" s="14">
        <v>640</v>
      </c>
    </row>
    <row r="90" spans="1:9">
      <c r="A90" s="9" t="s">
        <v>270</v>
      </c>
      <c r="B90" s="9" t="s">
        <v>273</v>
      </c>
      <c r="C90" s="10" t="s">
        <v>56</v>
      </c>
      <c r="D90" s="10" t="s">
        <v>218</v>
      </c>
      <c r="E90" s="13">
        <v>2</v>
      </c>
      <c r="F90" s="13">
        <v>310</v>
      </c>
      <c r="G90" s="13">
        <v>0</v>
      </c>
      <c r="H90" s="13">
        <v>620</v>
      </c>
      <c r="I90" s="13">
        <v>620</v>
      </c>
    </row>
    <row r="91" spans="1:9">
      <c r="A91" s="11" t="s">
        <v>274</v>
      </c>
      <c r="B91" s="11" t="s">
        <v>275</v>
      </c>
      <c r="C91" s="12" t="s">
        <v>132</v>
      </c>
      <c r="D91" s="12" t="s">
        <v>219</v>
      </c>
      <c r="E91" s="14">
        <v>3</v>
      </c>
      <c r="F91" s="14">
        <v>320</v>
      </c>
      <c r="G91" s="14">
        <v>0</v>
      </c>
      <c r="H91" s="14">
        <v>960</v>
      </c>
      <c r="I91" s="14">
        <v>960</v>
      </c>
    </row>
    <row r="92" spans="1:9">
      <c r="A92" s="9" t="s">
        <v>274</v>
      </c>
      <c r="B92" s="9" t="s">
        <v>275</v>
      </c>
      <c r="C92" s="10" t="s">
        <v>132</v>
      </c>
      <c r="D92" s="10" t="s">
        <v>218</v>
      </c>
      <c r="E92" s="13">
        <v>3</v>
      </c>
      <c r="F92" s="13">
        <v>310</v>
      </c>
      <c r="G92" s="13">
        <v>0</v>
      </c>
      <c r="H92" s="13">
        <v>930</v>
      </c>
      <c r="I92" s="13">
        <v>930</v>
      </c>
    </row>
    <row r="93" spans="1:9">
      <c r="A93" s="11" t="s">
        <v>274</v>
      </c>
      <c r="B93" s="11" t="s">
        <v>275</v>
      </c>
      <c r="C93" s="12" t="s">
        <v>132</v>
      </c>
      <c r="D93" s="12" t="s">
        <v>226</v>
      </c>
      <c r="E93" s="14">
        <v>0</v>
      </c>
      <c r="F93" s="14">
        <v>0</v>
      </c>
      <c r="G93" s="14">
        <v>90</v>
      </c>
      <c r="H93" s="14">
        <v>0</v>
      </c>
      <c r="I93" s="14">
        <v>-90</v>
      </c>
    </row>
    <row r="94" spans="1:9">
      <c r="A94" s="9" t="s">
        <v>274</v>
      </c>
      <c r="B94" s="9" t="s">
        <v>276</v>
      </c>
      <c r="C94" s="10" t="s">
        <v>59</v>
      </c>
      <c r="D94" s="10" t="s">
        <v>219</v>
      </c>
      <c r="E94" s="13">
        <v>6</v>
      </c>
      <c r="F94" s="13">
        <v>320</v>
      </c>
      <c r="G94" s="13">
        <v>0</v>
      </c>
      <c r="H94" s="13">
        <v>1920</v>
      </c>
      <c r="I94" s="13">
        <v>1920</v>
      </c>
    </row>
    <row r="95" spans="1:9">
      <c r="A95" s="11" t="s">
        <v>274</v>
      </c>
      <c r="B95" s="11" t="s">
        <v>276</v>
      </c>
      <c r="C95" s="12" t="s">
        <v>59</v>
      </c>
      <c r="D95" s="12" t="s">
        <v>218</v>
      </c>
      <c r="E95" s="14">
        <v>6</v>
      </c>
      <c r="F95" s="14">
        <v>310</v>
      </c>
      <c r="G95" s="14">
        <v>0</v>
      </c>
      <c r="H95" s="14">
        <v>1860</v>
      </c>
      <c r="I95" s="14">
        <v>1860</v>
      </c>
    </row>
    <row r="96" spans="1:9">
      <c r="A96" s="9" t="s">
        <v>274</v>
      </c>
      <c r="B96" s="9" t="s">
        <v>276</v>
      </c>
      <c r="C96" s="10" t="s">
        <v>59</v>
      </c>
      <c r="D96" s="10" t="s">
        <v>226</v>
      </c>
      <c r="E96" s="13">
        <v>0</v>
      </c>
      <c r="F96" s="13">
        <v>0</v>
      </c>
      <c r="G96" s="13">
        <v>180</v>
      </c>
      <c r="H96" s="13">
        <v>0</v>
      </c>
      <c r="I96" s="13">
        <v>-180</v>
      </c>
    </row>
    <row r="97" spans="1:9">
      <c r="A97" s="11" t="s">
        <v>274</v>
      </c>
      <c r="B97" s="11" t="s">
        <v>277</v>
      </c>
      <c r="C97" s="12" t="s">
        <v>157</v>
      </c>
      <c r="D97" s="12" t="s">
        <v>236</v>
      </c>
      <c r="E97" s="14">
        <v>5</v>
      </c>
      <c r="F97" s="14">
        <v>200</v>
      </c>
      <c r="G97" s="14">
        <v>0</v>
      </c>
      <c r="H97" s="14">
        <v>1000</v>
      </c>
      <c r="I97" s="14">
        <v>1000</v>
      </c>
    </row>
    <row r="98" spans="1:9">
      <c r="A98" s="9" t="s">
        <v>274</v>
      </c>
      <c r="B98" s="9" t="s">
        <v>278</v>
      </c>
      <c r="C98" s="10" t="s">
        <v>126</v>
      </c>
      <c r="D98" s="10" t="s">
        <v>219</v>
      </c>
      <c r="E98" s="13">
        <v>3</v>
      </c>
      <c r="F98" s="13">
        <v>320</v>
      </c>
      <c r="G98" s="13">
        <v>0</v>
      </c>
      <c r="H98" s="13">
        <v>960</v>
      </c>
      <c r="I98" s="13">
        <v>960</v>
      </c>
    </row>
    <row r="99" spans="1:9">
      <c r="A99" s="11" t="s">
        <v>274</v>
      </c>
      <c r="B99" s="11" t="s">
        <v>278</v>
      </c>
      <c r="C99" s="12" t="s">
        <v>126</v>
      </c>
      <c r="D99" s="12" t="s">
        <v>218</v>
      </c>
      <c r="E99" s="14">
        <v>3</v>
      </c>
      <c r="F99" s="14">
        <v>310</v>
      </c>
      <c r="G99" s="14">
        <v>0</v>
      </c>
      <c r="H99" s="14">
        <v>930</v>
      </c>
      <c r="I99" s="14">
        <v>930</v>
      </c>
    </row>
    <row r="100" spans="1:9">
      <c r="A100" s="9" t="s">
        <v>274</v>
      </c>
      <c r="B100" s="9" t="s">
        <v>278</v>
      </c>
      <c r="C100" s="10" t="s">
        <v>126</v>
      </c>
      <c r="D100" s="10" t="s">
        <v>226</v>
      </c>
      <c r="E100" s="13">
        <v>0</v>
      </c>
      <c r="F100" s="13">
        <v>0</v>
      </c>
      <c r="G100" s="13">
        <v>90</v>
      </c>
      <c r="H100" s="13">
        <v>0</v>
      </c>
      <c r="I100" s="13">
        <v>-90</v>
      </c>
    </row>
    <row r="101" spans="1:9">
      <c r="A101" s="11" t="s">
        <v>274</v>
      </c>
      <c r="B101" s="11" t="s">
        <v>279</v>
      </c>
      <c r="C101" s="12" t="s">
        <v>128</v>
      </c>
      <c r="D101" s="12" t="s">
        <v>219</v>
      </c>
      <c r="E101" s="14">
        <v>3</v>
      </c>
      <c r="F101" s="14">
        <v>320</v>
      </c>
      <c r="G101" s="14">
        <v>0</v>
      </c>
      <c r="H101" s="14">
        <v>960</v>
      </c>
      <c r="I101" s="14">
        <v>960</v>
      </c>
    </row>
    <row r="102" spans="1:9">
      <c r="A102" s="9" t="s">
        <v>274</v>
      </c>
      <c r="B102" s="9" t="s">
        <v>279</v>
      </c>
      <c r="C102" s="10" t="s">
        <v>128</v>
      </c>
      <c r="D102" s="10" t="s">
        <v>226</v>
      </c>
      <c r="E102" s="13">
        <v>0</v>
      </c>
      <c r="F102" s="13">
        <v>0</v>
      </c>
      <c r="G102" s="13">
        <v>60</v>
      </c>
      <c r="H102" s="13">
        <v>0</v>
      </c>
      <c r="I102" s="13">
        <v>-60</v>
      </c>
    </row>
    <row r="103" spans="1:9">
      <c r="A103" s="11" t="s">
        <v>274</v>
      </c>
      <c r="B103" s="11" t="s">
        <v>280</v>
      </c>
      <c r="C103" s="12" t="s">
        <v>68</v>
      </c>
      <c r="D103" s="12" t="s">
        <v>219</v>
      </c>
      <c r="E103" s="14">
        <v>1</v>
      </c>
      <c r="F103" s="14">
        <v>320</v>
      </c>
      <c r="G103" s="14">
        <v>0</v>
      </c>
      <c r="H103" s="14">
        <v>320</v>
      </c>
      <c r="I103" s="14">
        <v>320</v>
      </c>
    </row>
    <row r="104" spans="1:9">
      <c r="A104" s="9" t="s">
        <v>274</v>
      </c>
      <c r="B104" s="9" t="s">
        <v>280</v>
      </c>
      <c r="C104" s="10" t="s">
        <v>68</v>
      </c>
      <c r="D104" s="10" t="s">
        <v>226</v>
      </c>
      <c r="E104" s="13">
        <v>0</v>
      </c>
      <c r="F104" s="13">
        <v>0</v>
      </c>
      <c r="G104" s="13">
        <v>10</v>
      </c>
      <c r="H104" s="13">
        <v>0</v>
      </c>
      <c r="I104" s="13">
        <v>-10</v>
      </c>
    </row>
    <row r="105" spans="1:9">
      <c r="A105" s="11" t="s">
        <v>274</v>
      </c>
      <c r="B105" s="11" t="s">
        <v>281</v>
      </c>
      <c r="C105" s="12" t="s">
        <v>124</v>
      </c>
      <c r="D105" s="12" t="s">
        <v>219</v>
      </c>
      <c r="E105" s="14">
        <v>3</v>
      </c>
      <c r="F105" s="14">
        <v>320</v>
      </c>
      <c r="G105" s="14">
        <v>0</v>
      </c>
      <c r="H105" s="14">
        <v>960</v>
      </c>
      <c r="I105" s="14">
        <v>960</v>
      </c>
    </row>
    <row r="106" spans="1:9">
      <c r="A106" s="9" t="s">
        <v>274</v>
      </c>
      <c r="B106" s="9" t="s">
        <v>281</v>
      </c>
      <c r="C106" s="10" t="s">
        <v>124</v>
      </c>
      <c r="D106" s="10" t="s">
        <v>218</v>
      </c>
      <c r="E106" s="13">
        <v>3</v>
      </c>
      <c r="F106" s="13">
        <v>310</v>
      </c>
      <c r="G106" s="13">
        <v>0</v>
      </c>
      <c r="H106" s="13">
        <v>930</v>
      </c>
      <c r="I106" s="13">
        <v>930</v>
      </c>
    </row>
    <row r="107" spans="1:9">
      <c r="A107" s="11" t="s">
        <v>274</v>
      </c>
      <c r="B107" s="11" t="s">
        <v>282</v>
      </c>
      <c r="C107" s="12" t="s">
        <v>142</v>
      </c>
      <c r="D107" s="12" t="s">
        <v>219</v>
      </c>
      <c r="E107" s="14">
        <v>3</v>
      </c>
      <c r="F107" s="14">
        <v>320</v>
      </c>
      <c r="G107" s="14">
        <v>0</v>
      </c>
      <c r="H107" s="14">
        <v>960</v>
      </c>
      <c r="I107" s="14">
        <v>960</v>
      </c>
    </row>
    <row r="108" spans="1:9">
      <c r="A108" s="9" t="s">
        <v>274</v>
      </c>
      <c r="B108" s="9" t="s">
        <v>282</v>
      </c>
      <c r="C108" s="10" t="s">
        <v>142</v>
      </c>
      <c r="D108" s="10" t="s">
        <v>218</v>
      </c>
      <c r="E108" s="13">
        <v>3</v>
      </c>
      <c r="F108" s="13">
        <v>310</v>
      </c>
      <c r="G108" s="13">
        <v>0</v>
      </c>
      <c r="H108" s="13">
        <v>930</v>
      </c>
      <c r="I108" s="13">
        <v>930</v>
      </c>
    </row>
    <row r="109" spans="1:9">
      <c r="A109" s="11" t="s">
        <v>274</v>
      </c>
      <c r="B109" s="11" t="s">
        <v>282</v>
      </c>
      <c r="C109" s="12" t="s">
        <v>142</v>
      </c>
      <c r="D109" s="12" t="s">
        <v>226</v>
      </c>
      <c r="E109" s="14">
        <v>0</v>
      </c>
      <c r="F109" s="14">
        <v>0</v>
      </c>
      <c r="G109" s="14">
        <v>60</v>
      </c>
      <c r="H109" s="14">
        <v>0</v>
      </c>
      <c r="I109" s="14">
        <v>-60</v>
      </c>
    </row>
    <row r="110" spans="1:9">
      <c r="A110" s="9" t="s">
        <v>274</v>
      </c>
      <c r="B110" s="9" t="s">
        <v>283</v>
      </c>
      <c r="C110" s="10" t="s">
        <v>75</v>
      </c>
      <c r="D110" s="10" t="s">
        <v>219</v>
      </c>
      <c r="E110" s="13">
        <v>1</v>
      </c>
      <c r="F110" s="13">
        <v>320</v>
      </c>
      <c r="G110" s="13">
        <v>0</v>
      </c>
      <c r="H110" s="13">
        <v>320</v>
      </c>
      <c r="I110" s="13">
        <v>320</v>
      </c>
    </row>
    <row r="111" spans="1:9">
      <c r="A111" s="11" t="s">
        <v>274</v>
      </c>
      <c r="B111" s="11" t="s">
        <v>283</v>
      </c>
      <c r="C111" s="12" t="s">
        <v>75</v>
      </c>
      <c r="D111" s="12" t="s">
        <v>226</v>
      </c>
      <c r="E111" s="14">
        <v>0</v>
      </c>
      <c r="F111" s="14">
        <v>0</v>
      </c>
      <c r="G111" s="14">
        <v>10</v>
      </c>
      <c r="H111" s="14">
        <v>0</v>
      </c>
      <c r="I111" s="14">
        <v>-10</v>
      </c>
    </row>
    <row r="112" spans="1:9">
      <c r="A112" s="9" t="s">
        <v>274</v>
      </c>
      <c r="B112" s="9" t="s">
        <v>284</v>
      </c>
      <c r="C112" s="10" t="s">
        <v>168</v>
      </c>
      <c r="D112" s="10" t="s">
        <v>219</v>
      </c>
      <c r="E112" s="13">
        <v>2</v>
      </c>
      <c r="F112" s="13">
        <v>320</v>
      </c>
      <c r="G112" s="13">
        <v>0</v>
      </c>
      <c r="H112" s="13">
        <v>640</v>
      </c>
      <c r="I112" s="13">
        <v>640</v>
      </c>
    </row>
    <row r="113" spans="1:9">
      <c r="A113" s="11" t="s">
        <v>274</v>
      </c>
      <c r="B113" s="11" t="s">
        <v>284</v>
      </c>
      <c r="C113" s="12" t="s">
        <v>168</v>
      </c>
      <c r="D113" s="12" t="s">
        <v>218</v>
      </c>
      <c r="E113" s="14">
        <v>2</v>
      </c>
      <c r="F113" s="14">
        <v>310</v>
      </c>
      <c r="G113" s="14">
        <v>0</v>
      </c>
      <c r="H113" s="14">
        <v>620</v>
      </c>
      <c r="I113" s="14">
        <v>620</v>
      </c>
    </row>
    <row r="114" spans="1:9">
      <c r="A114" s="9" t="s">
        <v>274</v>
      </c>
      <c r="B114" s="9" t="s">
        <v>285</v>
      </c>
      <c r="C114" s="10" t="s">
        <v>99</v>
      </c>
      <c r="D114" s="10" t="s">
        <v>219</v>
      </c>
      <c r="E114" s="13">
        <v>2</v>
      </c>
      <c r="F114" s="13">
        <v>320</v>
      </c>
      <c r="G114" s="13">
        <v>0</v>
      </c>
      <c r="H114" s="13">
        <v>640</v>
      </c>
      <c r="I114" s="13">
        <v>640</v>
      </c>
    </row>
    <row r="115" spans="1:9">
      <c r="A115" s="11" t="s">
        <v>274</v>
      </c>
      <c r="B115" s="11" t="s">
        <v>285</v>
      </c>
      <c r="C115" s="12" t="s">
        <v>99</v>
      </c>
      <c r="D115" s="12" t="s">
        <v>218</v>
      </c>
      <c r="E115" s="14">
        <v>2</v>
      </c>
      <c r="F115" s="14">
        <v>310</v>
      </c>
      <c r="G115" s="14">
        <v>0</v>
      </c>
      <c r="H115" s="14">
        <v>620</v>
      </c>
      <c r="I115" s="14">
        <v>620</v>
      </c>
    </row>
    <row r="116" spans="1:9">
      <c r="A116" s="9" t="s">
        <v>274</v>
      </c>
      <c r="B116" s="9" t="s">
        <v>285</v>
      </c>
      <c r="C116" s="10" t="s">
        <v>99</v>
      </c>
      <c r="D116" s="10" t="s">
        <v>226</v>
      </c>
      <c r="E116" s="13">
        <v>0</v>
      </c>
      <c r="F116" s="13">
        <v>0</v>
      </c>
      <c r="G116" s="13">
        <v>60</v>
      </c>
      <c r="H116" s="13">
        <v>0</v>
      </c>
      <c r="I116" s="13">
        <v>-60</v>
      </c>
    </row>
    <row r="117" spans="1:9">
      <c r="A117" s="11" t="s">
        <v>274</v>
      </c>
      <c r="B117" s="11" t="s">
        <v>286</v>
      </c>
      <c r="C117" s="12" t="s">
        <v>84</v>
      </c>
      <c r="D117" s="12" t="s">
        <v>219</v>
      </c>
      <c r="E117" s="14">
        <v>1</v>
      </c>
      <c r="F117" s="14">
        <v>320</v>
      </c>
      <c r="G117" s="14">
        <v>0</v>
      </c>
      <c r="H117" s="14">
        <v>320</v>
      </c>
      <c r="I117" s="14">
        <v>320</v>
      </c>
    </row>
    <row r="118" spans="1:9">
      <c r="A118" s="9" t="s">
        <v>274</v>
      </c>
      <c r="B118" s="9" t="s">
        <v>286</v>
      </c>
      <c r="C118" s="10" t="s">
        <v>84</v>
      </c>
      <c r="D118" s="10" t="s">
        <v>218</v>
      </c>
      <c r="E118" s="13">
        <v>1</v>
      </c>
      <c r="F118" s="13">
        <v>310</v>
      </c>
      <c r="G118" s="13">
        <v>0</v>
      </c>
      <c r="H118" s="13">
        <v>310</v>
      </c>
      <c r="I118" s="13">
        <v>310</v>
      </c>
    </row>
    <row r="119" spans="1:9">
      <c r="A119" s="11" t="s">
        <v>274</v>
      </c>
      <c r="B119" s="11" t="s">
        <v>287</v>
      </c>
      <c r="C119" s="12" t="s">
        <v>70</v>
      </c>
      <c r="D119" s="12" t="s">
        <v>218</v>
      </c>
      <c r="E119" s="14">
        <v>15</v>
      </c>
      <c r="F119" s="14">
        <v>310</v>
      </c>
      <c r="G119" s="14">
        <v>0</v>
      </c>
      <c r="H119" s="14">
        <v>4650</v>
      </c>
      <c r="I119" s="14">
        <v>4650</v>
      </c>
    </row>
    <row r="120" spans="1:9">
      <c r="A120" s="9" t="s">
        <v>274</v>
      </c>
      <c r="B120" s="9" t="s">
        <v>287</v>
      </c>
      <c r="C120" s="10" t="s">
        <v>70</v>
      </c>
      <c r="D120" s="10" t="s">
        <v>226</v>
      </c>
      <c r="E120" s="13">
        <v>0</v>
      </c>
      <c r="F120" s="13">
        <v>0</v>
      </c>
      <c r="G120" s="13">
        <v>150</v>
      </c>
      <c r="H120" s="13">
        <v>0</v>
      </c>
      <c r="I120" s="13">
        <v>-150</v>
      </c>
    </row>
    <row r="121" spans="1:9">
      <c r="A121" s="11" t="s">
        <v>288</v>
      </c>
      <c r="B121" s="11" t="s">
        <v>289</v>
      </c>
      <c r="C121" s="12" t="s">
        <v>167</v>
      </c>
      <c r="D121" s="12" t="s">
        <v>235</v>
      </c>
      <c r="E121" s="14">
        <v>5</v>
      </c>
      <c r="F121" s="14">
        <v>220</v>
      </c>
      <c r="G121" s="14">
        <v>0</v>
      </c>
      <c r="H121" s="14">
        <v>1100</v>
      </c>
      <c r="I121" s="14">
        <v>1100</v>
      </c>
    </row>
    <row r="122" spans="1:9">
      <c r="A122" s="9" t="s">
        <v>288</v>
      </c>
      <c r="B122" s="9" t="s">
        <v>289</v>
      </c>
      <c r="C122" s="10" t="s">
        <v>167</v>
      </c>
      <c r="D122" s="10" t="s">
        <v>236</v>
      </c>
      <c r="E122" s="13">
        <v>5</v>
      </c>
      <c r="F122" s="13">
        <v>200</v>
      </c>
      <c r="G122" s="13">
        <v>0</v>
      </c>
      <c r="H122" s="13">
        <v>1000</v>
      </c>
      <c r="I122" s="13">
        <v>1000</v>
      </c>
    </row>
    <row r="123" spans="1:9">
      <c r="A123" s="11" t="s">
        <v>288</v>
      </c>
      <c r="B123" s="11" t="s">
        <v>289</v>
      </c>
      <c r="C123" s="12" t="s">
        <v>167</v>
      </c>
      <c r="D123" s="12" t="s">
        <v>226</v>
      </c>
      <c r="E123" s="14">
        <v>0</v>
      </c>
      <c r="F123" s="14">
        <v>0</v>
      </c>
      <c r="G123" s="14">
        <v>200</v>
      </c>
      <c r="H123" s="14">
        <v>0</v>
      </c>
      <c r="I123" s="14">
        <v>-200</v>
      </c>
    </row>
    <row r="124" spans="1:9">
      <c r="A124" s="9" t="s">
        <v>290</v>
      </c>
      <c r="B124" s="9" t="s">
        <v>291</v>
      </c>
      <c r="C124" s="10" t="s">
        <v>112</v>
      </c>
      <c r="D124" s="10" t="s">
        <v>219</v>
      </c>
      <c r="E124" s="13">
        <v>2</v>
      </c>
      <c r="F124" s="13">
        <v>320</v>
      </c>
      <c r="G124" s="13">
        <v>0</v>
      </c>
      <c r="H124" s="13">
        <v>640</v>
      </c>
      <c r="I124" s="13">
        <v>640</v>
      </c>
    </row>
    <row r="125" spans="1:9">
      <c r="A125" s="11" t="s">
        <v>290</v>
      </c>
      <c r="B125" s="11" t="s">
        <v>291</v>
      </c>
      <c r="C125" s="12" t="s">
        <v>112</v>
      </c>
      <c r="D125" s="12" t="s">
        <v>218</v>
      </c>
      <c r="E125" s="14">
        <v>2</v>
      </c>
      <c r="F125" s="14">
        <v>310</v>
      </c>
      <c r="G125" s="14">
        <v>0</v>
      </c>
      <c r="H125" s="14">
        <v>620</v>
      </c>
      <c r="I125" s="14">
        <v>620</v>
      </c>
    </row>
    <row r="126" spans="1:9">
      <c r="A126" s="9" t="s">
        <v>292</v>
      </c>
      <c r="B126" s="9" t="s">
        <v>293</v>
      </c>
      <c r="C126" s="10" t="s">
        <v>107</v>
      </c>
      <c r="D126" s="10" t="s">
        <v>218</v>
      </c>
      <c r="E126" s="13">
        <v>5</v>
      </c>
      <c r="F126" s="13">
        <v>310</v>
      </c>
      <c r="G126" s="13">
        <v>0</v>
      </c>
      <c r="H126" s="13">
        <v>1550</v>
      </c>
      <c r="I126" s="13">
        <v>1550</v>
      </c>
    </row>
    <row r="127" spans="1:9">
      <c r="A127" s="11" t="s">
        <v>292</v>
      </c>
      <c r="B127" s="11" t="s">
        <v>294</v>
      </c>
      <c r="C127" s="12" t="s">
        <v>42</v>
      </c>
      <c r="D127" s="12" t="s">
        <v>218</v>
      </c>
      <c r="E127" s="14">
        <v>10</v>
      </c>
      <c r="F127" s="14">
        <v>310</v>
      </c>
      <c r="G127" s="14">
        <v>0</v>
      </c>
      <c r="H127" s="14">
        <v>3100</v>
      </c>
      <c r="I127" s="14">
        <v>3100</v>
      </c>
    </row>
    <row r="128" spans="1:9">
      <c r="A128" s="9" t="s">
        <v>292</v>
      </c>
      <c r="B128" s="9" t="s">
        <v>294</v>
      </c>
      <c r="C128" s="10" t="s">
        <v>42</v>
      </c>
      <c r="D128" s="10" t="s">
        <v>226</v>
      </c>
      <c r="E128" s="13">
        <v>0</v>
      </c>
      <c r="F128" s="13">
        <v>0</v>
      </c>
      <c r="G128" s="13">
        <v>300</v>
      </c>
      <c r="H128" s="13">
        <v>0</v>
      </c>
      <c r="I128" s="13">
        <v>-300</v>
      </c>
    </row>
    <row r="129" spans="1:9">
      <c r="A129" s="11" t="s">
        <v>295</v>
      </c>
      <c r="B129" s="11" t="s">
        <v>296</v>
      </c>
      <c r="C129" s="12" t="s">
        <v>84</v>
      </c>
      <c r="D129" s="12" t="s">
        <v>218</v>
      </c>
      <c r="E129" s="14">
        <v>2</v>
      </c>
      <c r="F129" s="14">
        <v>310</v>
      </c>
      <c r="G129" s="14">
        <v>0</v>
      </c>
      <c r="H129" s="14">
        <v>620</v>
      </c>
      <c r="I129" s="14">
        <v>620</v>
      </c>
    </row>
    <row r="130" spans="1:9">
      <c r="A130" s="9" t="s">
        <v>295</v>
      </c>
      <c r="B130" s="9" t="s">
        <v>296</v>
      </c>
      <c r="C130" s="10" t="s">
        <v>84</v>
      </c>
      <c r="D130" s="10" t="s">
        <v>219</v>
      </c>
      <c r="E130" s="13">
        <v>1</v>
      </c>
      <c r="F130" s="13">
        <v>320</v>
      </c>
      <c r="G130" s="13">
        <v>0</v>
      </c>
      <c r="H130" s="13">
        <v>320</v>
      </c>
      <c r="I130" s="13">
        <v>320</v>
      </c>
    </row>
    <row r="131" spans="1:9">
      <c r="A131" s="11" t="s">
        <v>295</v>
      </c>
      <c r="B131" s="11" t="s">
        <v>297</v>
      </c>
      <c r="C131" s="12" t="s">
        <v>75</v>
      </c>
      <c r="D131" s="12" t="s">
        <v>219</v>
      </c>
      <c r="E131" s="14">
        <v>6</v>
      </c>
      <c r="F131" s="14">
        <v>320</v>
      </c>
      <c r="G131" s="14">
        <v>0</v>
      </c>
      <c r="H131" s="14">
        <v>1920</v>
      </c>
      <c r="I131" s="14">
        <v>1920</v>
      </c>
    </row>
    <row r="132" spans="1:9">
      <c r="A132" s="9" t="s">
        <v>295</v>
      </c>
      <c r="B132" s="9" t="s">
        <v>297</v>
      </c>
      <c r="C132" s="10" t="s">
        <v>75</v>
      </c>
      <c r="D132" s="10" t="s">
        <v>226</v>
      </c>
      <c r="E132" s="13">
        <v>0</v>
      </c>
      <c r="F132" s="13">
        <v>0</v>
      </c>
      <c r="G132" s="13">
        <v>120</v>
      </c>
      <c r="H132" s="13">
        <v>0</v>
      </c>
      <c r="I132" s="13">
        <v>-120</v>
      </c>
    </row>
    <row r="133" spans="1:9">
      <c r="A133" s="11" t="s">
        <v>298</v>
      </c>
      <c r="B133" s="11" t="s">
        <v>299</v>
      </c>
      <c r="C133" s="12" t="s">
        <v>141</v>
      </c>
      <c r="D133" s="12" t="s">
        <v>218</v>
      </c>
      <c r="E133" s="14">
        <v>1</v>
      </c>
      <c r="F133" s="14">
        <v>310</v>
      </c>
      <c r="G133" s="14">
        <v>0</v>
      </c>
      <c r="H133" s="14">
        <v>310</v>
      </c>
      <c r="I133" s="14">
        <v>310</v>
      </c>
    </row>
    <row r="134" spans="1:9">
      <c r="A134" s="9" t="s">
        <v>298</v>
      </c>
      <c r="B134" s="9" t="s">
        <v>299</v>
      </c>
      <c r="C134" s="10" t="s">
        <v>141</v>
      </c>
      <c r="D134" s="10" t="s">
        <v>219</v>
      </c>
      <c r="E134" s="13">
        <v>2</v>
      </c>
      <c r="F134" s="13">
        <v>320</v>
      </c>
      <c r="G134" s="13">
        <v>0</v>
      </c>
      <c r="H134" s="13">
        <v>640</v>
      </c>
      <c r="I134" s="13">
        <v>640</v>
      </c>
    </row>
    <row r="135" spans="1:9">
      <c r="A135" s="11" t="s">
        <v>298</v>
      </c>
      <c r="B135" s="11" t="s">
        <v>300</v>
      </c>
      <c r="C135" s="12" t="s">
        <v>59</v>
      </c>
      <c r="D135" s="12" t="s">
        <v>219</v>
      </c>
      <c r="E135" s="14">
        <v>6</v>
      </c>
      <c r="F135" s="14">
        <v>320</v>
      </c>
      <c r="G135" s="14">
        <v>0</v>
      </c>
      <c r="H135" s="14">
        <v>1920</v>
      </c>
      <c r="I135" s="14">
        <v>1920</v>
      </c>
    </row>
    <row r="136" spans="1:9">
      <c r="A136" s="9" t="s">
        <v>298</v>
      </c>
      <c r="B136" s="9" t="s">
        <v>300</v>
      </c>
      <c r="C136" s="10" t="s">
        <v>59</v>
      </c>
      <c r="D136" s="10" t="s">
        <v>226</v>
      </c>
      <c r="E136" s="13">
        <v>0</v>
      </c>
      <c r="F136" s="13">
        <v>0</v>
      </c>
      <c r="G136" s="13">
        <v>120</v>
      </c>
      <c r="H136" s="13">
        <v>0</v>
      </c>
      <c r="I136" s="13">
        <v>-120</v>
      </c>
    </row>
    <row r="137" spans="1:9">
      <c r="A137" s="11" t="s">
        <v>298</v>
      </c>
      <c r="B137" s="11" t="s">
        <v>301</v>
      </c>
      <c r="C137" s="12" t="s">
        <v>168</v>
      </c>
      <c r="D137" s="12" t="s">
        <v>219</v>
      </c>
      <c r="E137" s="14">
        <v>2</v>
      </c>
      <c r="F137" s="14">
        <v>320</v>
      </c>
      <c r="G137" s="14">
        <v>0</v>
      </c>
      <c r="H137" s="14">
        <v>640</v>
      </c>
      <c r="I137" s="14">
        <v>640</v>
      </c>
    </row>
    <row r="138" spans="1:9">
      <c r="A138" s="9" t="s">
        <v>298</v>
      </c>
      <c r="B138" s="9" t="s">
        <v>301</v>
      </c>
      <c r="C138" s="10" t="s">
        <v>168</v>
      </c>
      <c r="D138" s="10" t="s">
        <v>218</v>
      </c>
      <c r="E138" s="13">
        <v>2</v>
      </c>
      <c r="F138" s="13">
        <v>310</v>
      </c>
      <c r="G138" s="13">
        <v>0</v>
      </c>
      <c r="H138" s="13">
        <v>620</v>
      </c>
      <c r="I138" s="13">
        <v>620</v>
      </c>
    </row>
    <row r="139" spans="1:9">
      <c r="A139" s="11" t="s">
        <v>302</v>
      </c>
      <c r="B139" s="11" t="s">
        <v>303</v>
      </c>
      <c r="C139" s="12" t="s">
        <v>120</v>
      </c>
      <c r="D139" s="12" t="s">
        <v>218</v>
      </c>
      <c r="E139" s="14">
        <v>5</v>
      </c>
      <c r="F139" s="14">
        <v>310</v>
      </c>
      <c r="G139" s="14">
        <v>0</v>
      </c>
      <c r="H139" s="14">
        <v>1550</v>
      </c>
      <c r="I139" s="14">
        <v>1550</v>
      </c>
    </row>
    <row r="140" spans="1:9">
      <c r="A140" s="9" t="s">
        <v>302</v>
      </c>
      <c r="B140" s="9" t="s">
        <v>303</v>
      </c>
      <c r="C140" s="10" t="s">
        <v>120</v>
      </c>
      <c r="D140" s="10" t="s">
        <v>226</v>
      </c>
      <c r="E140" s="13">
        <v>0</v>
      </c>
      <c r="F140" s="13">
        <v>0</v>
      </c>
      <c r="G140" s="13">
        <v>50</v>
      </c>
      <c r="H140" s="13">
        <v>0</v>
      </c>
      <c r="I140" s="13">
        <v>-50</v>
      </c>
    </row>
    <row r="141" spans="1:9">
      <c r="A141" s="11" t="s">
        <v>304</v>
      </c>
      <c r="B141" s="11" t="s">
        <v>305</v>
      </c>
      <c r="C141" s="12" t="s">
        <v>107</v>
      </c>
      <c r="D141" s="12" t="s">
        <v>218</v>
      </c>
      <c r="E141" s="14">
        <v>5</v>
      </c>
      <c r="F141" s="14">
        <v>310</v>
      </c>
      <c r="G141" s="14">
        <v>0</v>
      </c>
      <c r="H141" s="14">
        <v>1550</v>
      </c>
      <c r="I141" s="14">
        <v>1550</v>
      </c>
    </row>
    <row r="142" spans="1:9">
      <c r="A142" s="9" t="s">
        <v>304</v>
      </c>
      <c r="B142" s="9" t="s">
        <v>305</v>
      </c>
      <c r="C142" s="10" t="s">
        <v>107</v>
      </c>
      <c r="D142" s="10" t="s">
        <v>219</v>
      </c>
      <c r="E142" s="13">
        <v>5</v>
      </c>
      <c r="F142" s="13">
        <v>320</v>
      </c>
      <c r="G142" s="13">
        <v>0</v>
      </c>
      <c r="H142" s="13">
        <v>1600</v>
      </c>
      <c r="I142" s="13">
        <v>1600</v>
      </c>
    </row>
    <row r="143" spans="1:9">
      <c r="A143" s="11" t="s">
        <v>304</v>
      </c>
      <c r="B143" s="11" t="s">
        <v>306</v>
      </c>
      <c r="C143" s="12" t="s">
        <v>42</v>
      </c>
      <c r="D143" s="12" t="s">
        <v>218</v>
      </c>
      <c r="E143" s="14">
        <v>10</v>
      </c>
      <c r="F143" s="14">
        <v>310</v>
      </c>
      <c r="G143" s="14">
        <v>300</v>
      </c>
      <c r="H143" s="14">
        <v>3100</v>
      </c>
      <c r="I143" s="14">
        <v>2800</v>
      </c>
    </row>
    <row r="144" spans="1:9">
      <c r="A144" s="9" t="s">
        <v>304</v>
      </c>
      <c r="B144" s="9" t="s">
        <v>306</v>
      </c>
      <c r="C144" s="10" t="s">
        <v>42</v>
      </c>
      <c r="D144" s="10" t="s">
        <v>219</v>
      </c>
      <c r="E144" s="13">
        <v>2</v>
      </c>
      <c r="F144" s="13">
        <v>320</v>
      </c>
      <c r="G144" s="13">
        <v>60</v>
      </c>
      <c r="H144" s="13">
        <v>640</v>
      </c>
      <c r="I144" s="13">
        <v>580</v>
      </c>
    </row>
    <row r="145" spans="1:9">
      <c r="A145" s="11" t="s">
        <v>304</v>
      </c>
      <c r="B145" s="11" t="s">
        <v>307</v>
      </c>
      <c r="C145" s="12" t="s">
        <v>133</v>
      </c>
      <c r="D145" s="12" t="s">
        <v>218</v>
      </c>
      <c r="E145" s="14">
        <v>3</v>
      </c>
      <c r="F145" s="14">
        <v>310</v>
      </c>
      <c r="G145" s="14">
        <v>0</v>
      </c>
      <c r="H145" s="14">
        <v>930</v>
      </c>
      <c r="I145" s="14">
        <v>930</v>
      </c>
    </row>
    <row r="146" spans="1:9">
      <c r="A146" s="9" t="s">
        <v>304</v>
      </c>
      <c r="B146" s="9" t="s">
        <v>307</v>
      </c>
      <c r="C146" s="10" t="s">
        <v>133</v>
      </c>
      <c r="D146" s="10" t="s">
        <v>219</v>
      </c>
      <c r="E146" s="13">
        <v>2</v>
      </c>
      <c r="F146" s="13">
        <v>320</v>
      </c>
      <c r="G146" s="13">
        <v>0</v>
      </c>
      <c r="H146" s="13">
        <v>640</v>
      </c>
      <c r="I146" s="13">
        <v>640</v>
      </c>
    </row>
    <row r="147" spans="1:9">
      <c r="A147" s="11" t="s">
        <v>304</v>
      </c>
      <c r="B147" s="11" t="s">
        <v>307</v>
      </c>
      <c r="C147" s="12" t="s">
        <v>133</v>
      </c>
      <c r="D147" s="12" t="s">
        <v>226</v>
      </c>
      <c r="E147" s="14">
        <v>0</v>
      </c>
      <c r="F147" s="14">
        <v>0</v>
      </c>
      <c r="G147" s="14">
        <v>20</v>
      </c>
      <c r="H147" s="14">
        <v>0</v>
      </c>
      <c r="I147" s="14">
        <v>-20</v>
      </c>
    </row>
    <row r="148" spans="1:9">
      <c r="A148" s="9" t="s">
        <v>295</v>
      </c>
      <c r="B148" s="9" t="s">
        <v>308</v>
      </c>
      <c r="C148" s="10" t="s">
        <v>87</v>
      </c>
      <c r="D148" s="10" t="s">
        <v>218</v>
      </c>
      <c r="E148" s="13">
        <v>2</v>
      </c>
      <c r="F148" s="13">
        <v>310</v>
      </c>
      <c r="G148" s="13">
        <v>0</v>
      </c>
      <c r="H148" s="13">
        <v>620</v>
      </c>
      <c r="I148" s="13">
        <v>620</v>
      </c>
    </row>
    <row r="149" spans="1:9">
      <c r="A149" s="11" t="s">
        <v>295</v>
      </c>
      <c r="B149" s="11" t="s">
        <v>308</v>
      </c>
      <c r="C149" s="12" t="s">
        <v>87</v>
      </c>
      <c r="D149" s="12" t="s">
        <v>219</v>
      </c>
      <c r="E149" s="14">
        <v>2</v>
      </c>
      <c r="F149" s="14">
        <v>320</v>
      </c>
      <c r="G149" s="14">
        <v>0</v>
      </c>
      <c r="H149" s="14">
        <v>640</v>
      </c>
      <c r="I149" s="14">
        <v>640</v>
      </c>
    </row>
    <row r="150" spans="1:9">
      <c r="A150" s="9" t="s">
        <v>295</v>
      </c>
      <c r="B150" s="9" t="s">
        <v>308</v>
      </c>
      <c r="C150" s="10" t="s">
        <v>87</v>
      </c>
      <c r="D150" s="10" t="s">
        <v>226</v>
      </c>
      <c r="E150" s="13">
        <v>0</v>
      </c>
      <c r="F150" s="13">
        <v>0</v>
      </c>
      <c r="G150" s="13">
        <v>40</v>
      </c>
      <c r="H150" s="13">
        <v>0</v>
      </c>
      <c r="I150" s="13">
        <v>-40</v>
      </c>
    </row>
    <row r="151" spans="1:9">
      <c r="A151" s="11" t="s">
        <v>298</v>
      </c>
      <c r="B151" s="11" t="s">
        <v>309</v>
      </c>
      <c r="C151" s="12" t="s">
        <v>164</v>
      </c>
      <c r="D151" s="12" t="s">
        <v>219</v>
      </c>
      <c r="E151" s="14">
        <v>10</v>
      </c>
      <c r="F151" s="14">
        <v>320</v>
      </c>
      <c r="G151" s="14">
        <v>0</v>
      </c>
      <c r="H151" s="14">
        <v>3200</v>
      </c>
      <c r="I151" s="14">
        <v>3200</v>
      </c>
    </row>
    <row r="152" spans="1:9">
      <c r="A152" s="9" t="s">
        <v>298</v>
      </c>
      <c r="B152" s="9" t="s">
        <v>309</v>
      </c>
      <c r="C152" s="10" t="s">
        <v>164</v>
      </c>
      <c r="D152" s="10" t="s">
        <v>218</v>
      </c>
      <c r="E152" s="13">
        <v>10</v>
      </c>
      <c r="F152" s="13">
        <v>310</v>
      </c>
      <c r="G152" s="13">
        <v>0</v>
      </c>
      <c r="H152" s="13">
        <v>3100</v>
      </c>
      <c r="I152" s="13">
        <v>3100</v>
      </c>
    </row>
    <row r="153" spans="1:9">
      <c r="A153" s="11" t="s">
        <v>298</v>
      </c>
      <c r="B153" s="11" t="s">
        <v>309</v>
      </c>
      <c r="C153" s="12" t="s">
        <v>164</v>
      </c>
      <c r="D153" s="12" t="s">
        <v>226</v>
      </c>
      <c r="E153" s="14">
        <v>0</v>
      </c>
      <c r="F153" s="14">
        <v>0</v>
      </c>
      <c r="G153" s="14">
        <v>200</v>
      </c>
      <c r="H153" s="14">
        <v>0</v>
      </c>
      <c r="I153" s="14">
        <v>-200</v>
      </c>
    </row>
    <row r="154" spans="1:9">
      <c r="A154" s="9" t="s">
        <v>304</v>
      </c>
      <c r="B154" s="9" t="s">
        <v>310</v>
      </c>
      <c r="C154" s="10" t="s">
        <v>93</v>
      </c>
      <c r="D154" s="10" t="s">
        <v>218</v>
      </c>
      <c r="E154" s="13">
        <v>5</v>
      </c>
      <c r="F154" s="13">
        <v>310</v>
      </c>
      <c r="G154" s="13">
        <v>0</v>
      </c>
      <c r="H154" s="13">
        <v>1550</v>
      </c>
      <c r="I154" s="13">
        <v>1550</v>
      </c>
    </row>
    <row r="155" spans="1:9">
      <c r="A155" s="11" t="s">
        <v>304</v>
      </c>
      <c r="B155" s="11" t="s">
        <v>310</v>
      </c>
      <c r="C155" s="12" t="s">
        <v>93</v>
      </c>
      <c r="D155" s="12" t="s">
        <v>219</v>
      </c>
      <c r="E155" s="14">
        <v>5</v>
      </c>
      <c r="F155" s="14">
        <v>320</v>
      </c>
      <c r="G155" s="14">
        <v>0</v>
      </c>
      <c r="H155" s="14">
        <v>1600</v>
      </c>
      <c r="I155" s="14">
        <v>1600</v>
      </c>
    </row>
    <row r="156" spans="1:9">
      <c r="A156" s="9" t="s">
        <v>311</v>
      </c>
      <c r="B156" s="9" t="s">
        <v>312</v>
      </c>
      <c r="C156" s="10" t="s">
        <v>164</v>
      </c>
      <c r="D156" s="10" t="s">
        <v>218</v>
      </c>
      <c r="E156" s="13">
        <v>20</v>
      </c>
      <c r="F156" s="13">
        <v>310</v>
      </c>
      <c r="G156" s="13">
        <v>0</v>
      </c>
      <c r="H156" s="13">
        <v>6200</v>
      </c>
      <c r="I156" s="13">
        <v>6200</v>
      </c>
    </row>
    <row r="157" spans="1:9">
      <c r="A157" s="11" t="s">
        <v>311</v>
      </c>
      <c r="B157" s="11" t="s">
        <v>312</v>
      </c>
      <c r="C157" s="12" t="s">
        <v>164</v>
      </c>
      <c r="D157" s="12" t="s">
        <v>219</v>
      </c>
      <c r="E157" s="14">
        <v>10</v>
      </c>
      <c r="F157" s="14">
        <v>320</v>
      </c>
      <c r="G157" s="14">
        <v>0</v>
      </c>
      <c r="H157" s="14">
        <v>3200</v>
      </c>
      <c r="I157" s="14">
        <v>3200</v>
      </c>
    </row>
    <row r="158" spans="1:9">
      <c r="A158" s="9" t="s">
        <v>311</v>
      </c>
      <c r="B158" s="9" t="s">
        <v>312</v>
      </c>
      <c r="C158" s="10" t="s">
        <v>164</v>
      </c>
      <c r="D158" s="10" t="s">
        <v>226</v>
      </c>
      <c r="E158" s="13">
        <v>0</v>
      </c>
      <c r="F158" s="13">
        <v>0</v>
      </c>
      <c r="G158" s="13">
        <v>300</v>
      </c>
      <c r="H158" s="13">
        <v>0</v>
      </c>
      <c r="I158" s="13">
        <v>-300</v>
      </c>
    </row>
    <row r="159" spans="1:9">
      <c r="A159" s="11" t="s">
        <v>311</v>
      </c>
      <c r="B159" s="11" t="s">
        <v>313</v>
      </c>
      <c r="C159" s="12" t="s">
        <v>137</v>
      </c>
      <c r="D159" s="12" t="s">
        <v>218</v>
      </c>
      <c r="E159" s="14">
        <v>1</v>
      </c>
      <c r="F159" s="14">
        <v>310</v>
      </c>
      <c r="G159" s="14">
        <v>0</v>
      </c>
      <c r="H159" s="14">
        <v>310</v>
      </c>
      <c r="I159" s="14">
        <v>310</v>
      </c>
    </row>
    <row r="160" spans="1:9">
      <c r="A160" s="9" t="s">
        <v>311</v>
      </c>
      <c r="B160" s="9" t="s">
        <v>313</v>
      </c>
      <c r="C160" s="10" t="s">
        <v>137</v>
      </c>
      <c r="D160" s="10" t="s">
        <v>236</v>
      </c>
      <c r="E160" s="13">
        <v>1</v>
      </c>
      <c r="F160" s="13">
        <v>200</v>
      </c>
      <c r="G160" s="13">
        <v>0</v>
      </c>
      <c r="H160" s="13">
        <v>200</v>
      </c>
      <c r="I160" s="13">
        <v>200</v>
      </c>
    </row>
    <row r="161" spans="1:9">
      <c r="A161" s="11" t="s">
        <v>311</v>
      </c>
      <c r="B161" s="11" t="s">
        <v>313</v>
      </c>
      <c r="C161" s="12" t="s">
        <v>137</v>
      </c>
      <c r="D161" s="12" t="s">
        <v>226</v>
      </c>
      <c r="E161" s="14">
        <v>0</v>
      </c>
      <c r="F161" s="14">
        <v>0</v>
      </c>
      <c r="G161" s="14">
        <v>10</v>
      </c>
      <c r="H161" s="14">
        <v>0</v>
      </c>
      <c r="I161" s="14">
        <v>-10</v>
      </c>
    </row>
    <row r="162" spans="1:9">
      <c r="A162" s="9" t="s">
        <v>314</v>
      </c>
      <c r="B162" s="9" t="s">
        <v>315</v>
      </c>
      <c r="C162" s="10" t="s">
        <v>112</v>
      </c>
      <c r="D162" s="10" t="s">
        <v>218</v>
      </c>
      <c r="E162" s="13">
        <v>2</v>
      </c>
      <c r="F162" s="13">
        <v>310</v>
      </c>
      <c r="G162" s="13">
        <v>0</v>
      </c>
      <c r="H162" s="13">
        <v>620</v>
      </c>
      <c r="I162" s="13">
        <v>620</v>
      </c>
    </row>
    <row r="163" spans="1:9">
      <c r="A163" s="11" t="s">
        <v>314</v>
      </c>
      <c r="B163" s="11" t="s">
        <v>315</v>
      </c>
      <c r="C163" s="12" t="s">
        <v>112</v>
      </c>
      <c r="D163" s="12" t="s">
        <v>219</v>
      </c>
      <c r="E163" s="14">
        <v>2</v>
      </c>
      <c r="F163" s="14">
        <v>320</v>
      </c>
      <c r="G163" s="14">
        <v>0</v>
      </c>
      <c r="H163" s="14">
        <v>640</v>
      </c>
      <c r="I163" s="14">
        <v>640</v>
      </c>
    </row>
    <row r="164" spans="1:9">
      <c r="A164" s="9" t="s">
        <v>298</v>
      </c>
      <c r="B164" s="9" t="s">
        <v>316</v>
      </c>
      <c r="C164" s="10" t="s">
        <v>147</v>
      </c>
      <c r="D164" s="10" t="s">
        <v>218</v>
      </c>
      <c r="E164" s="13">
        <v>10</v>
      </c>
      <c r="F164" s="13">
        <v>310</v>
      </c>
      <c r="G164" s="13">
        <v>500</v>
      </c>
      <c r="H164" s="13">
        <v>3100</v>
      </c>
      <c r="I164" s="13">
        <v>2600</v>
      </c>
    </row>
    <row r="165" spans="1:9">
      <c r="A165" s="11" t="s">
        <v>298</v>
      </c>
      <c r="B165" s="11" t="s">
        <v>316</v>
      </c>
      <c r="C165" s="12" t="s">
        <v>147</v>
      </c>
      <c r="D165" s="12" t="s">
        <v>219</v>
      </c>
      <c r="E165" s="14">
        <v>5</v>
      </c>
      <c r="F165" s="14">
        <v>320</v>
      </c>
      <c r="G165" s="14">
        <v>250</v>
      </c>
      <c r="H165" s="14">
        <v>1600</v>
      </c>
      <c r="I165" s="14">
        <v>1350</v>
      </c>
    </row>
    <row r="166" spans="1:9">
      <c r="A166" s="9" t="s">
        <v>317</v>
      </c>
      <c r="B166" s="9" t="s">
        <v>318</v>
      </c>
      <c r="C166" s="10" t="s">
        <v>87</v>
      </c>
      <c r="D166" s="10" t="s">
        <v>219</v>
      </c>
      <c r="E166" s="13">
        <v>4</v>
      </c>
      <c r="F166" s="13">
        <v>320</v>
      </c>
      <c r="G166" s="13">
        <v>0</v>
      </c>
      <c r="H166" s="13">
        <v>1280</v>
      </c>
      <c r="I166" s="13">
        <v>1280</v>
      </c>
    </row>
    <row r="167" spans="1:9">
      <c r="A167" s="11" t="s">
        <v>317</v>
      </c>
      <c r="B167" s="11" t="s">
        <v>318</v>
      </c>
      <c r="C167" s="12" t="s">
        <v>87</v>
      </c>
      <c r="D167" s="12" t="s">
        <v>226</v>
      </c>
      <c r="E167" s="14">
        <v>0</v>
      </c>
      <c r="F167" s="14">
        <v>0</v>
      </c>
      <c r="G167" s="14">
        <v>40</v>
      </c>
      <c r="H167" s="14">
        <v>0</v>
      </c>
      <c r="I167" s="14">
        <v>-40</v>
      </c>
    </row>
    <row r="168" spans="1:9">
      <c r="A168" s="9" t="s">
        <v>295</v>
      </c>
      <c r="B168" s="9" t="s">
        <v>319</v>
      </c>
      <c r="C168" s="10" t="s">
        <v>56</v>
      </c>
      <c r="D168" s="10" t="s">
        <v>218</v>
      </c>
      <c r="E168" s="13">
        <v>3</v>
      </c>
      <c r="F168" s="13">
        <v>310</v>
      </c>
      <c r="G168" s="13">
        <v>0</v>
      </c>
      <c r="H168" s="13">
        <v>930</v>
      </c>
      <c r="I168" s="13">
        <v>930</v>
      </c>
    </row>
    <row r="169" spans="1:9">
      <c r="A169" s="11" t="s">
        <v>295</v>
      </c>
      <c r="B169" s="11" t="s">
        <v>319</v>
      </c>
      <c r="C169" s="12" t="s">
        <v>56</v>
      </c>
      <c r="D169" s="12" t="s">
        <v>219</v>
      </c>
      <c r="E169" s="14">
        <v>3</v>
      </c>
      <c r="F169" s="14">
        <v>320</v>
      </c>
      <c r="G169" s="14">
        <v>0</v>
      </c>
      <c r="H169" s="14">
        <v>960</v>
      </c>
      <c r="I169" s="14">
        <v>960</v>
      </c>
    </row>
    <row r="170" spans="1:9">
      <c r="A170" s="9" t="s">
        <v>314</v>
      </c>
      <c r="B170" s="9" t="s">
        <v>320</v>
      </c>
      <c r="C170" s="10" t="s">
        <v>137</v>
      </c>
      <c r="D170" s="10" t="s">
        <v>235</v>
      </c>
      <c r="E170" s="13">
        <v>1</v>
      </c>
      <c r="F170" s="13">
        <v>220</v>
      </c>
      <c r="G170" s="13">
        <v>0</v>
      </c>
      <c r="H170" s="13">
        <v>220</v>
      </c>
      <c r="I170" s="13">
        <v>220</v>
      </c>
    </row>
    <row r="171" spans="1:9">
      <c r="A171" s="11" t="s">
        <v>314</v>
      </c>
      <c r="B171" s="11" t="s">
        <v>320</v>
      </c>
      <c r="C171" s="12" t="s">
        <v>137</v>
      </c>
      <c r="D171" s="12" t="s">
        <v>226</v>
      </c>
      <c r="E171" s="14">
        <v>0</v>
      </c>
      <c r="F171" s="14">
        <v>0</v>
      </c>
      <c r="G171" s="14">
        <v>20</v>
      </c>
      <c r="H171" s="14">
        <v>0</v>
      </c>
      <c r="I171" s="14">
        <v>-20</v>
      </c>
    </row>
    <row r="172" spans="1:9">
      <c r="A172" s="9" t="s">
        <v>321</v>
      </c>
      <c r="B172" s="9" t="s">
        <v>322</v>
      </c>
      <c r="C172" s="10" t="s">
        <v>141</v>
      </c>
      <c r="D172" s="10" t="s">
        <v>218</v>
      </c>
      <c r="E172" s="13">
        <v>2</v>
      </c>
      <c r="F172" s="13">
        <v>310</v>
      </c>
      <c r="G172" s="13">
        <v>0</v>
      </c>
      <c r="H172" s="13">
        <v>620</v>
      </c>
      <c r="I172" s="13">
        <v>620</v>
      </c>
    </row>
    <row r="173" spans="1:9">
      <c r="A173" s="11" t="s">
        <v>321</v>
      </c>
      <c r="B173" s="11" t="s">
        <v>322</v>
      </c>
      <c r="C173" s="12" t="s">
        <v>141</v>
      </c>
      <c r="D173" s="12" t="s">
        <v>219</v>
      </c>
      <c r="E173" s="14">
        <v>2</v>
      </c>
      <c r="F173" s="14">
        <v>320</v>
      </c>
      <c r="G173" s="14">
        <v>0</v>
      </c>
      <c r="H173" s="14">
        <v>640</v>
      </c>
      <c r="I173" s="14">
        <v>640</v>
      </c>
    </row>
    <row r="174" spans="1:9">
      <c r="A174" s="9" t="s">
        <v>298</v>
      </c>
      <c r="B174" s="9" t="s">
        <v>323</v>
      </c>
      <c r="C174" s="10" t="s">
        <v>104</v>
      </c>
      <c r="D174" s="10" t="s">
        <v>219</v>
      </c>
      <c r="E174" s="13">
        <v>3</v>
      </c>
      <c r="F174" s="13">
        <v>320</v>
      </c>
      <c r="G174" s="13">
        <v>0</v>
      </c>
      <c r="H174" s="13">
        <v>960</v>
      </c>
      <c r="I174" s="13">
        <v>960</v>
      </c>
    </row>
    <row r="175" spans="1:9">
      <c r="A175" s="11" t="s">
        <v>298</v>
      </c>
      <c r="B175" s="11" t="s">
        <v>323</v>
      </c>
      <c r="C175" s="12" t="s">
        <v>104</v>
      </c>
      <c r="D175" s="12" t="s">
        <v>218</v>
      </c>
      <c r="E175" s="14">
        <v>2</v>
      </c>
      <c r="F175" s="14">
        <v>310</v>
      </c>
      <c r="G175" s="14">
        <v>0</v>
      </c>
      <c r="H175" s="14">
        <v>620</v>
      </c>
      <c r="I175" s="14">
        <v>620</v>
      </c>
    </row>
    <row r="176" spans="1:9">
      <c r="A176" s="9" t="s">
        <v>298</v>
      </c>
      <c r="B176" s="9" t="s">
        <v>323</v>
      </c>
      <c r="C176" s="10" t="s">
        <v>104</v>
      </c>
      <c r="D176" s="10" t="s">
        <v>226</v>
      </c>
      <c r="E176" s="13">
        <v>0</v>
      </c>
      <c r="F176" s="13">
        <v>0</v>
      </c>
      <c r="G176" s="13">
        <v>80</v>
      </c>
      <c r="H176" s="13">
        <v>0</v>
      </c>
      <c r="I176" s="13">
        <v>-80</v>
      </c>
    </row>
    <row r="177" spans="1:9">
      <c r="A177" s="11" t="s">
        <v>321</v>
      </c>
      <c r="B177" s="11" t="s">
        <v>324</v>
      </c>
      <c r="C177" s="12" t="s">
        <v>84</v>
      </c>
      <c r="D177" s="12" t="s">
        <v>218</v>
      </c>
      <c r="E177" s="14">
        <v>1</v>
      </c>
      <c r="F177" s="14">
        <v>310</v>
      </c>
      <c r="G177" s="14">
        <v>0</v>
      </c>
      <c r="H177" s="14">
        <v>310</v>
      </c>
      <c r="I177" s="14">
        <v>310</v>
      </c>
    </row>
    <row r="178" spans="1:9">
      <c r="A178" s="9" t="s">
        <v>321</v>
      </c>
      <c r="B178" s="9" t="s">
        <v>324</v>
      </c>
      <c r="C178" s="10" t="s">
        <v>84</v>
      </c>
      <c r="D178" s="10" t="s">
        <v>219</v>
      </c>
      <c r="E178" s="13">
        <v>2</v>
      </c>
      <c r="F178" s="13">
        <v>320</v>
      </c>
      <c r="G178" s="13">
        <v>0</v>
      </c>
      <c r="H178" s="13">
        <v>640</v>
      </c>
      <c r="I178" s="13">
        <v>640</v>
      </c>
    </row>
    <row r="179" spans="1:9">
      <c r="A179" s="11" t="s">
        <v>304</v>
      </c>
      <c r="B179" s="11" t="s">
        <v>325</v>
      </c>
      <c r="C179" s="12" t="s">
        <v>120</v>
      </c>
      <c r="D179" s="12" t="s">
        <v>219</v>
      </c>
      <c r="E179" s="14">
        <v>5</v>
      </c>
      <c r="F179" s="14">
        <v>320</v>
      </c>
      <c r="G179" s="14">
        <v>0</v>
      </c>
      <c r="H179" s="14">
        <v>1600</v>
      </c>
      <c r="I179" s="14">
        <v>1600</v>
      </c>
    </row>
    <row r="180" spans="1:9">
      <c r="A180" s="9" t="s">
        <v>304</v>
      </c>
      <c r="B180" s="9" t="s">
        <v>325</v>
      </c>
      <c r="C180" s="10" t="s">
        <v>120</v>
      </c>
      <c r="D180" s="10" t="s">
        <v>226</v>
      </c>
      <c r="E180" s="13">
        <v>0</v>
      </c>
      <c r="F180" s="13">
        <v>0</v>
      </c>
      <c r="G180" s="13">
        <v>50</v>
      </c>
      <c r="H180" s="13">
        <v>0</v>
      </c>
      <c r="I180" s="13">
        <v>-50</v>
      </c>
    </row>
    <row r="181" spans="1:9">
      <c r="A181" s="11" t="s">
        <v>326</v>
      </c>
      <c r="B181" s="11" t="s">
        <v>327</v>
      </c>
      <c r="C181" s="12" t="s">
        <v>120</v>
      </c>
      <c r="D181" s="12" t="s">
        <v>218</v>
      </c>
      <c r="E181" s="14">
        <v>5</v>
      </c>
      <c r="F181" s="14">
        <v>310</v>
      </c>
      <c r="G181" s="14">
        <v>0</v>
      </c>
      <c r="H181" s="14">
        <v>1550</v>
      </c>
      <c r="I181" s="14">
        <v>1550</v>
      </c>
    </row>
    <row r="182" spans="1:9">
      <c r="A182" s="9" t="s">
        <v>326</v>
      </c>
      <c r="B182" s="9" t="s">
        <v>328</v>
      </c>
      <c r="C182" s="10" t="s">
        <v>122</v>
      </c>
      <c r="D182" s="10" t="s">
        <v>236</v>
      </c>
      <c r="E182" s="13">
        <v>1</v>
      </c>
      <c r="F182" s="13">
        <v>200</v>
      </c>
      <c r="G182" s="13">
        <v>0</v>
      </c>
      <c r="H182" s="13">
        <v>200</v>
      </c>
      <c r="I182" s="13">
        <v>200</v>
      </c>
    </row>
    <row r="183" spans="1:9">
      <c r="A183" s="11" t="s">
        <v>326</v>
      </c>
      <c r="B183" s="11" t="s">
        <v>328</v>
      </c>
      <c r="C183" s="12" t="s">
        <v>122</v>
      </c>
      <c r="D183" s="12" t="s">
        <v>218</v>
      </c>
      <c r="E183" s="14">
        <v>1</v>
      </c>
      <c r="F183" s="14">
        <v>310</v>
      </c>
      <c r="G183" s="14">
        <v>0</v>
      </c>
      <c r="H183" s="14">
        <v>310</v>
      </c>
      <c r="I183" s="14">
        <v>310</v>
      </c>
    </row>
    <row r="184" spans="1:9">
      <c r="A184" s="9" t="s">
        <v>326</v>
      </c>
      <c r="B184" s="9" t="s">
        <v>328</v>
      </c>
      <c r="C184" s="10" t="s">
        <v>122</v>
      </c>
      <c r="D184" s="10" t="s">
        <v>235</v>
      </c>
      <c r="E184" s="13">
        <v>1</v>
      </c>
      <c r="F184" s="13">
        <v>220</v>
      </c>
      <c r="G184" s="13">
        <v>0</v>
      </c>
      <c r="H184" s="13">
        <v>220</v>
      </c>
      <c r="I184" s="13">
        <v>220</v>
      </c>
    </row>
    <row r="185" spans="1:9">
      <c r="A185" s="11" t="s">
        <v>326</v>
      </c>
      <c r="B185" s="11" t="s">
        <v>328</v>
      </c>
      <c r="C185" s="12" t="s">
        <v>122</v>
      </c>
      <c r="D185" s="12" t="s">
        <v>219</v>
      </c>
      <c r="E185" s="14">
        <v>1</v>
      </c>
      <c r="F185" s="14">
        <v>320</v>
      </c>
      <c r="G185" s="14">
        <v>0</v>
      </c>
      <c r="H185" s="14">
        <v>320</v>
      </c>
      <c r="I185" s="14">
        <v>320</v>
      </c>
    </row>
    <row r="186" spans="1:9">
      <c r="A186" s="9" t="s">
        <v>329</v>
      </c>
      <c r="B186" s="9" t="s">
        <v>330</v>
      </c>
      <c r="C186" s="10" t="s">
        <v>54</v>
      </c>
      <c r="D186" s="10" t="s">
        <v>236</v>
      </c>
      <c r="E186" s="13">
        <v>5</v>
      </c>
      <c r="F186" s="13">
        <v>200</v>
      </c>
      <c r="G186" s="13">
        <v>0</v>
      </c>
      <c r="H186" s="13">
        <v>1000</v>
      </c>
      <c r="I186" s="13">
        <v>1000</v>
      </c>
    </row>
    <row r="187" spans="1:9">
      <c r="A187" s="11" t="s">
        <v>329</v>
      </c>
      <c r="B187" s="11" t="s">
        <v>330</v>
      </c>
      <c r="C187" s="12" t="s">
        <v>54</v>
      </c>
      <c r="D187" s="12" t="s">
        <v>235</v>
      </c>
      <c r="E187" s="14">
        <v>5</v>
      </c>
      <c r="F187" s="14">
        <v>220</v>
      </c>
      <c r="G187" s="14">
        <v>0</v>
      </c>
      <c r="H187" s="14">
        <v>1100</v>
      </c>
      <c r="I187" s="14">
        <v>1100</v>
      </c>
    </row>
    <row r="188" spans="1:9">
      <c r="A188" s="9" t="s">
        <v>329</v>
      </c>
      <c r="B188" s="9" t="s">
        <v>331</v>
      </c>
      <c r="C188" s="10" t="s">
        <v>157</v>
      </c>
      <c r="D188" s="10" t="s">
        <v>236</v>
      </c>
      <c r="E188" s="13">
        <v>10</v>
      </c>
      <c r="F188" s="13">
        <v>200</v>
      </c>
      <c r="G188" s="13">
        <v>0</v>
      </c>
      <c r="H188" s="13">
        <v>2000</v>
      </c>
      <c r="I188" s="13">
        <v>2000</v>
      </c>
    </row>
    <row r="189" spans="1:9">
      <c r="A189" s="11" t="s">
        <v>329</v>
      </c>
      <c r="B189" s="11" t="s">
        <v>331</v>
      </c>
      <c r="C189" s="12" t="s">
        <v>157</v>
      </c>
      <c r="D189" s="12" t="s">
        <v>235</v>
      </c>
      <c r="E189" s="14">
        <v>10</v>
      </c>
      <c r="F189" s="14">
        <v>220</v>
      </c>
      <c r="G189" s="14">
        <v>0</v>
      </c>
      <c r="H189" s="14">
        <v>2200</v>
      </c>
      <c r="I189" s="14">
        <v>2200</v>
      </c>
    </row>
    <row r="190" spans="1:9">
      <c r="A190" s="9" t="s">
        <v>329</v>
      </c>
      <c r="B190" s="9" t="s">
        <v>332</v>
      </c>
      <c r="C190" s="10" t="s">
        <v>75</v>
      </c>
      <c r="D190" s="10" t="s">
        <v>219</v>
      </c>
      <c r="E190" s="13">
        <v>6</v>
      </c>
      <c r="F190" s="13">
        <v>320</v>
      </c>
      <c r="G190" s="13">
        <v>0</v>
      </c>
      <c r="H190" s="13">
        <v>1920</v>
      </c>
      <c r="I190" s="13">
        <v>1920</v>
      </c>
    </row>
    <row r="191" spans="1:9">
      <c r="A191" s="11" t="s">
        <v>329</v>
      </c>
      <c r="B191" s="11" t="s">
        <v>332</v>
      </c>
      <c r="C191" s="12" t="s">
        <v>75</v>
      </c>
      <c r="D191" s="12" t="s">
        <v>226</v>
      </c>
      <c r="E191" s="14">
        <v>0</v>
      </c>
      <c r="F191" s="14">
        <v>0</v>
      </c>
      <c r="G191" s="14">
        <v>120</v>
      </c>
      <c r="H191" s="14">
        <v>0</v>
      </c>
      <c r="I191" s="14">
        <v>-120</v>
      </c>
    </row>
    <row r="192" spans="1:9">
      <c r="A192" s="9" t="s">
        <v>317</v>
      </c>
      <c r="B192" s="9" t="s">
        <v>333</v>
      </c>
      <c r="C192" s="10" t="s">
        <v>139</v>
      </c>
      <c r="D192" s="10" t="s">
        <v>219</v>
      </c>
      <c r="E192" s="13">
        <v>50</v>
      </c>
      <c r="F192" s="13">
        <v>320</v>
      </c>
      <c r="G192" s="13">
        <v>0</v>
      </c>
      <c r="H192" s="13">
        <v>16000</v>
      </c>
      <c r="I192" s="13">
        <v>16000</v>
      </c>
    </row>
    <row r="193" spans="1:9">
      <c r="A193" s="11" t="s">
        <v>317</v>
      </c>
      <c r="B193" s="11" t="s">
        <v>333</v>
      </c>
      <c r="C193" s="12" t="s">
        <v>139</v>
      </c>
      <c r="D193" s="12" t="s">
        <v>226</v>
      </c>
      <c r="E193" s="14">
        <v>0</v>
      </c>
      <c r="F193" s="14">
        <v>0</v>
      </c>
      <c r="G193" s="14">
        <v>1000</v>
      </c>
      <c r="H193" s="14">
        <v>0</v>
      </c>
      <c r="I193" s="14">
        <v>-1000</v>
      </c>
    </row>
    <row r="194" spans="1:9">
      <c r="A194" s="9" t="s">
        <v>304</v>
      </c>
      <c r="B194" s="9" t="s">
        <v>334</v>
      </c>
      <c r="C194" s="10" t="s">
        <v>117</v>
      </c>
      <c r="D194" s="10" t="s">
        <v>218</v>
      </c>
      <c r="E194" s="13">
        <v>5</v>
      </c>
      <c r="F194" s="13">
        <v>310</v>
      </c>
      <c r="G194" s="13">
        <v>0</v>
      </c>
      <c r="H194" s="13">
        <v>1550</v>
      </c>
      <c r="I194" s="13">
        <v>1550</v>
      </c>
    </row>
    <row r="195" spans="1:9">
      <c r="A195" s="11" t="s">
        <v>304</v>
      </c>
      <c r="B195" s="11" t="s">
        <v>334</v>
      </c>
      <c r="C195" s="12" t="s">
        <v>117</v>
      </c>
      <c r="D195" s="12" t="s">
        <v>219</v>
      </c>
      <c r="E195" s="14">
        <v>5</v>
      </c>
      <c r="F195" s="14">
        <v>320</v>
      </c>
      <c r="G195" s="14">
        <v>0</v>
      </c>
      <c r="H195" s="14">
        <v>1600</v>
      </c>
      <c r="I195" s="14">
        <v>1600</v>
      </c>
    </row>
    <row r="196" spans="1:9">
      <c r="A196" s="9" t="s">
        <v>335</v>
      </c>
      <c r="B196" s="9" t="s">
        <v>336</v>
      </c>
      <c r="C196" s="10" t="s">
        <v>145</v>
      </c>
      <c r="D196" s="10" t="s">
        <v>218</v>
      </c>
      <c r="E196" s="13">
        <v>10</v>
      </c>
      <c r="F196" s="13">
        <v>310</v>
      </c>
      <c r="G196" s="13">
        <v>0</v>
      </c>
      <c r="H196" s="13">
        <v>3100</v>
      </c>
      <c r="I196" s="13">
        <v>3100</v>
      </c>
    </row>
    <row r="197" spans="1:9">
      <c r="A197" s="11" t="s">
        <v>335</v>
      </c>
      <c r="B197" s="11" t="s">
        <v>336</v>
      </c>
      <c r="C197" s="19" t="s">
        <v>337</v>
      </c>
      <c r="D197" s="12" t="s">
        <v>226</v>
      </c>
      <c r="E197" s="20">
        <f>SUM(E2:E196)</f>
        <v>645</v>
      </c>
      <c r="F197" s="14">
        <v>0</v>
      </c>
      <c r="G197" s="20">
        <f>SUM(G2:G196)</f>
        <v>6090</v>
      </c>
      <c r="H197" s="20">
        <f>SUM(H2:H196)</f>
        <v>192320</v>
      </c>
      <c r="I197" s="20">
        <f>SUM(I2:I196)</f>
        <v>186230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/>
  </sheetViews>
  <sheetFormatPr defaultRowHeight="14.5"/>
  <cols>
    <col min="1" max="1" width="22" customWidth="1"/>
    <col min="2" max="2" width="18" customWidth="1"/>
    <col min="3" max="3" width="27" customWidth="1"/>
    <col min="4" max="4" width="30" customWidth="1"/>
    <col min="5" max="5" width="27" customWidth="1"/>
    <col min="6" max="6" width="22" customWidth="1"/>
    <col min="7" max="7" width="26" customWidth="1"/>
    <col min="8" max="8" width="29" customWidth="1"/>
    <col min="9" max="9" width="35" customWidth="1"/>
  </cols>
  <sheetData>
    <row r="1" spans="1:9">
      <c r="A1" s="3" t="s">
        <v>338</v>
      </c>
      <c r="B1" s="3" t="s">
        <v>210</v>
      </c>
      <c r="C1" s="3" t="s">
        <v>339</v>
      </c>
      <c r="D1" s="3" t="s">
        <v>340</v>
      </c>
      <c r="E1" s="3" t="s">
        <v>341</v>
      </c>
      <c r="F1" s="3" t="s">
        <v>342</v>
      </c>
      <c r="G1" s="3" t="s">
        <v>343</v>
      </c>
      <c r="H1" s="3" t="s">
        <v>344</v>
      </c>
      <c r="I1" s="3" t="s">
        <v>345</v>
      </c>
    </row>
    <row r="2" spans="1:9">
      <c r="A2" s="9" t="s">
        <v>346</v>
      </c>
      <c r="B2" s="10" t="s">
        <v>236</v>
      </c>
      <c r="C2" s="13">
        <v>350</v>
      </c>
      <c r="D2" s="13">
        <v>143.30000000000001</v>
      </c>
      <c r="E2" s="13">
        <f>C2*D2</f>
        <v>50155.000000000007</v>
      </c>
      <c r="F2" s="13">
        <v>69</v>
      </c>
      <c r="G2" s="13">
        <f>F2*D2</f>
        <v>9887.7000000000007</v>
      </c>
      <c r="H2" s="13">
        <f>C2-F2</f>
        <v>281</v>
      </c>
      <c r="I2" s="13">
        <f>H2*D2</f>
        <v>40267.300000000003</v>
      </c>
    </row>
    <row r="3" spans="1:9">
      <c r="A3" s="11" t="s">
        <v>347</v>
      </c>
      <c r="B3" s="12" t="s">
        <v>218</v>
      </c>
      <c r="C3" s="14">
        <v>500</v>
      </c>
      <c r="D3" s="14">
        <v>208.6</v>
      </c>
      <c r="E3" s="14">
        <f>C3*D3</f>
        <v>104300</v>
      </c>
      <c r="F3" s="14">
        <v>280</v>
      </c>
      <c r="G3" s="14">
        <f>F3*D3</f>
        <v>58408</v>
      </c>
      <c r="H3" s="14">
        <f>C3-F3</f>
        <v>220</v>
      </c>
      <c r="I3" s="14">
        <f>H3*D3</f>
        <v>45892</v>
      </c>
    </row>
    <row r="4" spans="1:9">
      <c r="A4" s="9" t="s">
        <v>348</v>
      </c>
      <c r="B4" s="10" t="s">
        <v>235</v>
      </c>
      <c r="C4" s="13">
        <v>250</v>
      </c>
      <c r="D4" s="13">
        <v>172.8</v>
      </c>
      <c r="E4" s="13">
        <f>C4*D4</f>
        <v>43200</v>
      </c>
      <c r="F4" s="13">
        <v>30</v>
      </c>
      <c r="G4" s="13">
        <f>F4*D4</f>
        <v>5184</v>
      </c>
      <c r="H4" s="13">
        <f>C4-F4</f>
        <v>220</v>
      </c>
      <c r="I4" s="13">
        <f>H4*D4</f>
        <v>38016</v>
      </c>
    </row>
    <row r="5" spans="1:9">
      <c r="A5" s="11" t="s">
        <v>349</v>
      </c>
      <c r="B5" s="12" t="s">
        <v>219</v>
      </c>
      <c r="C5" s="14">
        <v>300</v>
      </c>
      <c r="D5" s="14">
        <v>235.24</v>
      </c>
      <c r="E5" s="14">
        <f>C5*D5</f>
        <v>70572</v>
      </c>
      <c r="F5" s="14">
        <v>266</v>
      </c>
      <c r="G5" s="14">
        <f>F5*D5</f>
        <v>62573.840000000004</v>
      </c>
      <c r="H5" s="14">
        <f>C5-F5</f>
        <v>34</v>
      </c>
      <c r="I5" s="14">
        <f>H5*D5</f>
        <v>7998.16</v>
      </c>
    </row>
    <row r="6" spans="1:9">
      <c r="B6" s="15" t="s">
        <v>350</v>
      </c>
      <c r="E6" s="16">
        <f>SUM(E2:E5)</f>
        <v>268227</v>
      </c>
      <c r="G6" s="16">
        <f>SUM(G2:G5)</f>
        <v>136053.54</v>
      </c>
      <c r="I6" s="16">
        <f>SUM(I2:I5)</f>
        <v>132173.46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4.5"/>
  <cols>
    <col min="1" max="1" width="18" customWidth="1"/>
    <col min="2" max="3" width="23" customWidth="1"/>
    <col min="4" max="4" width="22" customWidth="1"/>
  </cols>
  <sheetData>
    <row r="1" spans="1:4">
      <c r="A1" s="3" t="s">
        <v>351</v>
      </c>
      <c r="B1" s="3" t="s">
        <v>210</v>
      </c>
      <c r="C1" s="3" t="s">
        <v>352</v>
      </c>
      <c r="D1" s="3" t="s">
        <v>353</v>
      </c>
    </row>
    <row r="2" spans="1:4">
      <c r="A2" s="9" t="s">
        <v>354</v>
      </c>
      <c r="B2" s="10" t="s">
        <v>236</v>
      </c>
      <c r="C2" s="13">
        <v>38</v>
      </c>
      <c r="D2" s="13">
        <v>7600</v>
      </c>
    </row>
    <row r="3" spans="1:4">
      <c r="A3" s="11" t="s">
        <v>354</v>
      </c>
      <c r="B3" s="12" t="s">
        <v>218</v>
      </c>
      <c r="C3" s="14">
        <v>49</v>
      </c>
      <c r="D3" s="14">
        <v>15190</v>
      </c>
    </row>
    <row r="4" spans="1:4">
      <c r="A4" s="9" t="s">
        <v>354</v>
      </c>
      <c r="B4" s="10" t="s">
        <v>235</v>
      </c>
      <c r="C4" s="13">
        <v>1</v>
      </c>
      <c r="D4" s="13">
        <v>220</v>
      </c>
    </row>
    <row r="5" spans="1:4">
      <c r="A5" s="11" t="s">
        <v>354</v>
      </c>
      <c r="B5" s="12" t="s">
        <v>219</v>
      </c>
      <c r="C5" s="14">
        <v>37</v>
      </c>
      <c r="D5" s="14">
        <v>11840</v>
      </c>
    </row>
    <row r="6" spans="1:4">
      <c r="A6" s="9" t="s">
        <v>355</v>
      </c>
      <c r="B6" s="10" t="s">
        <v>236</v>
      </c>
      <c r="C6" s="13">
        <v>14</v>
      </c>
      <c r="D6" s="13">
        <v>2800</v>
      </c>
    </row>
    <row r="7" spans="1:4">
      <c r="A7" s="11" t="s">
        <v>355</v>
      </c>
      <c r="B7" s="12" t="s">
        <v>218</v>
      </c>
      <c r="C7" s="14">
        <v>124</v>
      </c>
      <c r="D7" s="14">
        <v>38440</v>
      </c>
    </row>
    <row r="8" spans="1:4">
      <c r="A8" s="9" t="s">
        <v>355</v>
      </c>
      <c r="B8" s="10" t="s">
        <v>235</v>
      </c>
      <c r="C8" s="13">
        <v>12</v>
      </c>
      <c r="D8" s="13">
        <v>2640</v>
      </c>
    </row>
    <row r="9" spans="1:4">
      <c r="A9" s="11" t="s">
        <v>355</v>
      </c>
      <c r="B9" s="12" t="s">
        <v>219</v>
      </c>
      <c r="C9" s="14">
        <v>88</v>
      </c>
      <c r="D9" s="14">
        <v>28160</v>
      </c>
    </row>
    <row r="10" spans="1:4">
      <c r="A10" s="9" t="s">
        <v>356</v>
      </c>
      <c r="B10" s="10" t="s">
        <v>236</v>
      </c>
      <c r="C10" s="13">
        <v>17</v>
      </c>
      <c r="D10" s="13">
        <v>3400</v>
      </c>
    </row>
    <row r="11" spans="1:4">
      <c r="A11" s="11" t="s">
        <v>356</v>
      </c>
      <c r="B11" s="12" t="s">
        <v>218</v>
      </c>
      <c r="C11" s="14">
        <v>107</v>
      </c>
      <c r="D11" s="14">
        <v>32370</v>
      </c>
    </row>
    <row r="12" spans="1:4">
      <c r="A12" s="9" t="s">
        <v>356</v>
      </c>
      <c r="B12" s="10" t="s">
        <v>235</v>
      </c>
      <c r="C12" s="13">
        <v>17</v>
      </c>
      <c r="D12" s="13">
        <v>3740</v>
      </c>
    </row>
    <row r="13" spans="1:4">
      <c r="A13" s="11" t="s">
        <v>356</v>
      </c>
      <c r="B13" s="12" t="s">
        <v>219</v>
      </c>
      <c r="C13" s="14">
        <v>141</v>
      </c>
      <c r="D13" s="14">
        <v>44810</v>
      </c>
    </row>
    <row r="14" spans="1:4">
      <c r="B14" s="15" t="s">
        <v>357</v>
      </c>
      <c r="C14" s="16">
        <f>SUM(C2:C13)</f>
        <v>645</v>
      </c>
      <c r="D14" s="16">
        <f>SUM(D2:D13)</f>
        <v>191210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4.5"/>
  <cols>
    <col min="1" max="1" width="14" customWidth="1"/>
    <col min="2" max="2" width="15" customWidth="1"/>
    <col min="3" max="3" width="22" customWidth="1"/>
    <col min="4" max="4" width="12" customWidth="1"/>
    <col min="5" max="5" width="33" customWidth="1"/>
    <col min="6" max="6" width="29" customWidth="1"/>
    <col min="7" max="7" width="23" customWidth="1"/>
  </cols>
  <sheetData>
    <row r="1" spans="1:7">
      <c r="A1" s="3" t="s">
        <v>358</v>
      </c>
      <c r="B1" s="3" t="s">
        <v>207</v>
      </c>
      <c r="C1" s="3" t="s">
        <v>359</v>
      </c>
      <c r="D1" s="3" t="s">
        <v>360</v>
      </c>
      <c r="E1" s="3" t="s">
        <v>361</v>
      </c>
      <c r="F1" s="3" t="s">
        <v>362</v>
      </c>
      <c r="G1" s="3" t="s">
        <v>363</v>
      </c>
    </row>
    <row r="2" spans="1:7">
      <c r="A2" s="9" t="s">
        <v>364</v>
      </c>
      <c r="B2" s="9" t="s">
        <v>365</v>
      </c>
      <c r="C2" s="10" t="s">
        <v>366</v>
      </c>
      <c r="D2" s="9" t="s">
        <v>367</v>
      </c>
      <c r="E2" s="13">
        <v>1500</v>
      </c>
      <c r="F2" s="13">
        <v>0</v>
      </c>
      <c r="G2" s="13">
        <f t="shared" ref="G2:G28" si="0">E2+F2</f>
        <v>1500</v>
      </c>
    </row>
    <row r="3" spans="1:7">
      <c r="A3" s="11" t="s">
        <v>368</v>
      </c>
      <c r="B3" s="11" t="s">
        <v>369</v>
      </c>
      <c r="C3" s="12" t="s">
        <v>366</v>
      </c>
      <c r="D3" s="11" t="s">
        <v>367</v>
      </c>
      <c r="E3" s="14">
        <v>80</v>
      </c>
      <c r="F3" s="14">
        <v>0</v>
      </c>
      <c r="G3" s="14">
        <f t="shared" si="0"/>
        <v>80</v>
      </c>
    </row>
    <row r="4" spans="1:7">
      <c r="A4" s="9" t="s">
        <v>370</v>
      </c>
      <c r="B4" s="9" t="s">
        <v>371</v>
      </c>
      <c r="C4" s="10" t="s">
        <v>366</v>
      </c>
      <c r="D4" s="9" t="s">
        <v>367</v>
      </c>
      <c r="E4" s="13">
        <v>800</v>
      </c>
      <c r="F4" s="13">
        <v>0</v>
      </c>
      <c r="G4" s="13">
        <f t="shared" si="0"/>
        <v>800</v>
      </c>
    </row>
    <row r="5" spans="1:7">
      <c r="A5" s="11" t="s">
        <v>372</v>
      </c>
      <c r="B5" s="11" t="s">
        <v>373</v>
      </c>
      <c r="C5" s="12" t="s">
        <v>366</v>
      </c>
      <c r="D5" s="11" t="s">
        <v>367</v>
      </c>
      <c r="E5" s="14">
        <v>50</v>
      </c>
      <c r="F5" s="14">
        <v>0</v>
      </c>
      <c r="G5" s="14">
        <f t="shared" si="0"/>
        <v>50</v>
      </c>
    </row>
    <row r="6" spans="1:7">
      <c r="A6" s="9" t="s">
        <v>374</v>
      </c>
      <c r="B6" s="9" t="s">
        <v>375</v>
      </c>
      <c r="C6" s="10" t="s">
        <v>366</v>
      </c>
      <c r="D6" s="9" t="s">
        <v>367</v>
      </c>
      <c r="E6" s="13">
        <v>80</v>
      </c>
      <c r="F6" s="13">
        <v>0</v>
      </c>
      <c r="G6" s="13">
        <f t="shared" si="0"/>
        <v>80</v>
      </c>
    </row>
    <row r="7" spans="1:7">
      <c r="A7" s="11" t="s">
        <v>376</v>
      </c>
      <c r="B7" s="11" t="s">
        <v>377</v>
      </c>
      <c r="C7" s="12" t="s">
        <v>366</v>
      </c>
      <c r="D7" s="11" t="s">
        <v>367</v>
      </c>
      <c r="E7" s="14">
        <v>90</v>
      </c>
      <c r="F7" s="14">
        <v>0</v>
      </c>
      <c r="G7" s="14">
        <f t="shared" si="0"/>
        <v>90</v>
      </c>
    </row>
    <row r="8" spans="1:7">
      <c r="A8" s="9" t="s">
        <v>378</v>
      </c>
      <c r="B8" s="9" t="s">
        <v>379</v>
      </c>
      <c r="C8" s="10" t="s">
        <v>366</v>
      </c>
      <c r="D8" s="9" t="s">
        <v>367</v>
      </c>
      <c r="E8" s="13">
        <v>250</v>
      </c>
      <c r="F8" s="13">
        <v>0</v>
      </c>
      <c r="G8" s="13">
        <f t="shared" si="0"/>
        <v>250</v>
      </c>
    </row>
    <row r="9" spans="1:7">
      <c r="A9" s="11" t="s">
        <v>380</v>
      </c>
      <c r="B9" s="11" t="s">
        <v>381</v>
      </c>
      <c r="C9" s="12" t="s">
        <v>366</v>
      </c>
      <c r="D9" s="11" t="s">
        <v>367</v>
      </c>
      <c r="E9" s="14">
        <v>400</v>
      </c>
      <c r="F9" s="14">
        <v>0</v>
      </c>
      <c r="G9" s="14">
        <f t="shared" si="0"/>
        <v>400</v>
      </c>
    </row>
    <row r="10" spans="1:7">
      <c r="A10" s="9" t="s">
        <v>382</v>
      </c>
      <c r="B10" s="9" t="s">
        <v>381</v>
      </c>
      <c r="C10" s="10" t="s">
        <v>366</v>
      </c>
      <c r="D10" s="9" t="s">
        <v>367</v>
      </c>
      <c r="E10" s="13">
        <v>300</v>
      </c>
      <c r="F10" s="13">
        <v>0</v>
      </c>
      <c r="G10" s="13">
        <f t="shared" si="0"/>
        <v>300</v>
      </c>
    </row>
    <row r="11" spans="1:7">
      <c r="A11" s="11" t="s">
        <v>383</v>
      </c>
      <c r="B11" s="11" t="s">
        <v>384</v>
      </c>
      <c r="C11" s="12" t="s">
        <v>366</v>
      </c>
      <c r="D11" s="11" t="s">
        <v>367</v>
      </c>
      <c r="E11" s="14">
        <v>250</v>
      </c>
      <c r="F11" s="14">
        <v>0</v>
      </c>
      <c r="G11" s="14">
        <f t="shared" si="0"/>
        <v>250</v>
      </c>
    </row>
    <row r="12" spans="1:7">
      <c r="A12" s="9" t="s">
        <v>385</v>
      </c>
      <c r="B12" s="9" t="s">
        <v>386</v>
      </c>
      <c r="C12" s="10" t="s">
        <v>366</v>
      </c>
      <c r="D12" s="9" t="s">
        <v>367</v>
      </c>
      <c r="E12" s="13">
        <v>250</v>
      </c>
      <c r="F12" s="13">
        <v>0</v>
      </c>
      <c r="G12" s="13">
        <f t="shared" si="0"/>
        <v>250</v>
      </c>
    </row>
    <row r="13" spans="1:7">
      <c r="A13" s="11" t="s">
        <v>387</v>
      </c>
      <c r="B13" s="11" t="s">
        <v>388</v>
      </c>
      <c r="C13" s="12" t="s">
        <v>366</v>
      </c>
      <c r="D13" s="11" t="s">
        <v>367</v>
      </c>
      <c r="E13" s="14">
        <v>200</v>
      </c>
      <c r="F13" s="14">
        <v>0</v>
      </c>
      <c r="G13" s="14">
        <f t="shared" si="0"/>
        <v>200</v>
      </c>
    </row>
    <row r="14" spans="1:7">
      <c r="A14" s="9" t="s">
        <v>389</v>
      </c>
      <c r="B14" s="9" t="s">
        <v>390</v>
      </c>
      <c r="C14" s="10" t="s">
        <v>366</v>
      </c>
      <c r="D14" s="9" t="s">
        <v>367</v>
      </c>
      <c r="E14" s="13">
        <v>850</v>
      </c>
      <c r="F14" s="13">
        <v>0</v>
      </c>
      <c r="G14" s="13">
        <f t="shared" si="0"/>
        <v>850</v>
      </c>
    </row>
    <row r="15" spans="1:7">
      <c r="A15" s="11" t="s">
        <v>391</v>
      </c>
      <c r="B15" s="11" t="s">
        <v>390</v>
      </c>
      <c r="C15" s="12" t="s">
        <v>392</v>
      </c>
      <c r="D15" s="11" t="s">
        <v>393</v>
      </c>
      <c r="E15" s="14">
        <v>0</v>
      </c>
      <c r="F15" s="14">
        <v>10350</v>
      </c>
      <c r="G15" s="14">
        <f t="shared" si="0"/>
        <v>10350</v>
      </c>
    </row>
    <row r="16" spans="1:7">
      <c r="A16" s="9" t="s">
        <v>394</v>
      </c>
      <c r="B16" s="9" t="s">
        <v>395</v>
      </c>
      <c r="C16" s="10" t="s">
        <v>396</v>
      </c>
      <c r="D16" s="9" t="s">
        <v>367</v>
      </c>
      <c r="E16" s="13">
        <v>810</v>
      </c>
      <c r="F16" s="13">
        <v>0</v>
      </c>
      <c r="G16" s="13">
        <f t="shared" si="0"/>
        <v>810</v>
      </c>
    </row>
    <row r="17" spans="1:7">
      <c r="A17" s="11" t="s">
        <v>397</v>
      </c>
      <c r="B17" s="11" t="s">
        <v>398</v>
      </c>
      <c r="C17" s="12" t="s">
        <v>366</v>
      </c>
      <c r="D17" s="11" t="s">
        <v>367</v>
      </c>
      <c r="E17" s="14">
        <v>200</v>
      </c>
      <c r="F17" s="14">
        <v>0</v>
      </c>
      <c r="G17" s="14">
        <f t="shared" si="0"/>
        <v>200</v>
      </c>
    </row>
    <row r="18" spans="1:7">
      <c r="A18" s="9" t="s">
        <v>399</v>
      </c>
      <c r="B18" s="9" t="s">
        <v>400</v>
      </c>
      <c r="C18" s="10" t="s">
        <v>401</v>
      </c>
      <c r="D18" s="9" t="s">
        <v>367</v>
      </c>
      <c r="E18" s="13">
        <v>1000</v>
      </c>
      <c r="F18" s="13">
        <v>0</v>
      </c>
      <c r="G18" s="13">
        <f t="shared" si="0"/>
        <v>1000</v>
      </c>
    </row>
    <row r="19" spans="1:7">
      <c r="A19" s="11" t="s">
        <v>402</v>
      </c>
      <c r="B19" s="11" t="s">
        <v>403</v>
      </c>
      <c r="C19" s="12" t="s">
        <v>392</v>
      </c>
      <c r="D19" s="11" t="s">
        <v>393</v>
      </c>
      <c r="E19" s="14">
        <v>0</v>
      </c>
      <c r="F19" s="14">
        <v>10000</v>
      </c>
      <c r="G19" s="14">
        <f t="shared" si="0"/>
        <v>10000</v>
      </c>
    </row>
    <row r="20" spans="1:7">
      <c r="A20" s="9" t="s">
        <v>404</v>
      </c>
      <c r="B20" s="9" t="s">
        <v>405</v>
      </c>
      <c r="C20" s="10" t="s">
        <v>366</v>
      </c>
      <c r="D20" s="9" t="s">
        <v>367</v>
      </c>
      <c r="E20" s="13">
        <v>300</v>
      </c>
      <c r="F20" s="13">
        <v>0</v>
      </c>
      <c r="G20" s="13">
        <f t="shared" si="0"/>
        <v>300</v>
      </c>
    </row>
    <row r="21" spans="1:7">
      <c r="A21" s="11" t="s">
        <v>406</v>
      </c>
      <c r="B21" s="11" t="s">
        <v>407</v>
      </c>
      <c r="C21" s="12" t="s">
        <v>366</v>
      </c>
      <c r="D21" s="11" t="s">
        <v>367</v>
      </c>
      <c r="E21" s="14">
        <v>900</v>
      </c>
      <c r="F21" s="14">
        <v>0</v>
      </c>
      <c r="G21" s="14">
        <f t="shared" si="0"/>
        <v>900</v>
      </c>
    </row>
    <row r="22" spans="1:7">
      <c r="A22" s="9" t="s">
        <v>408</v>
      </c>
      <c r="B22" s="9" t="s">
        <v>409</v>
      </c>
      <c r="C22" s="10" t="s">
        <v>366</v>
      </c>
      <c r="D22" s="9" t="s">
        <v>367</v>
      </c>
      <c r="E22" s="13">
        <v>800</v>
      </c>
      <c r="F22" s="13">
        <v>0</v>
      </c>
      <c r="G22" s="13">
        <f t="shared" si="0"/>
        <v>800</v>
      </c>
    </row>
    <row r="23" spans="1:7">
      <c r="A23" s="11" t="s">
        <v>410</v>
      </c>
      <c r="B23" s="11" t="s">
        <v>411</v>
      </c>
      <c r="C23" s="12" t="s">
        <v>366</v>
      </c>
      <c r="D23" s="11" t="s">
        <v>367</v>
      </c>
      <c r="E23" s="14">
        <v>500</v>
      </c>
      <c r="F23" s="14">
        <v>0</v>
      </c>
      <c r="G23" s="14">
        <f t="shared" si="0"/>
        <v>500</v>
      </c>
    </row>
    <row r="24" spans="1:7">
      <c r="A24" s="9" t="s">
        <v>412</v>
      </c>
      <c r="B24" s="9" t="s">
        <v>413</v>
      </c>
      <c r="C24" s="10" t="s">
        <v>366</v>
      </c>
      <c r="D24" s="9" t="s">
        <v>367</v>
      </c>
      <c r="E24" s="13">
        <v>300</v>
      </c>
      <c r="F24" s="13">
        <v>0</v>
      </c>
      <c r="G24" s="13">
        <f t="shared" si="0"/>
        <v>300</v>
      </c>
    </row>
    <row r="25" spans="1:7">
      <c r="A25" s="11" t="s">
        <v>414</v>
      </c>
      <c r="B25" s="11" t="s">
        <v>415</v>
      </c>
      <c r="C25" s="12" t="s">
        <v>416</v>
      </c>
      <c r="D25" s="11" t="s">
        <v>367</v>
      </c>
      <c r="E25" s="14">
        <v>500</v>
      </c>
      <c r="F25" s="14">
        <v>0</v>
      </c>
      <c r="G25" s="14">
        <f t="shared" si="0"/>
        <v>500</v>
      </c>
    </row>
    <row r="26" spans="1:7">
      <c r="A26" s="9" t="s">
        <v>417</v>
      </c>
      <c r="B26" s="9" t="s">
        <v>415</v>
      </c>
      <c r="C26" s="10" t="s">
        <v>396</v>
      </c>
      <c r="D26" s="9" t="s">
        <v>367</v>
      </c>
      <c r="E26" s="13">
        <v>750</v>
      </c>
      <c r="F26" s="13">
        <v>0</v>
      </c>
      <c r="G26" s="13">
        <f t="shared" si="0"/>
        <v>750</v>
      </c>
    </row>
    <row r="27" spans="1:7">
      <c r="A27" s="11" t="s">
        <v>418</v>
      </c>
      <c r="B27" s="11" t="s">
        <v>415</v>
      </c>
      <c r="C27" s="12" t="s">
        <v>366</v>
      </c>
      <c r="D27" s="11" t="s">
        <v>367</v>
      </c>
      <c r="E27" s="14">
        <v>300</v>
      </c>
      <c r="F27" s="14">
        <v>0</v>
      </c>
      <c r="G27" s="14">
        <f t="shared" si="0"/>
        <v>300</v>
      </c>
    </row>
    <row r="28" spans="1:7">
      <c r="A28" s="9" t="s">
        <v>419</v>
      </c>
      <c r="B28" s="9" t="s">
        <v>420</v>
      </c>
      <c r="C28" s="10" t="s">
        <v>366</v>
      </c>
      <c r="D28" s="9" t="s">
        <v>367</v>
      </c>
      <c r="E28" s="13">
        <v>300</v>
      </c>
      <c r="F28" s="13">
        <v>0</v>
      </c>
      <c r="G28" s="13">
        <f t="shared" si="0"/>
        <v>300</v>
      </c>
    </row>
    <row r="29" spans="1:7">
      <c r="C29" s="15" t="s">
        <v>421</v>
      </c>
      <c r="E29" s="16">
        <f>SUM(E2:E28)</f>
        <v>11760</v>
      </c>
      <c r="F29" s="16">
        <f>SUM(F2:F28)</f>
        <v>20350</v>
      </c>
      <c r="G29" s="16">
        <f>SUM(G2:G28)</f>
        <v>32110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4.5"/>
  <cols>
    <col min="1" max="1" width="12" customWidth="1"/>
    <col min="2" max="2" width="28" customWidth="1"/>
    <col min="3" max="3" width="15" customWidth="1"/>
    <col min="4" max="4" width="24" customWidth="1"/>
    <col min="5" max="5" width="27" customWidth="1"/>
    <col min="6" max="6" width="25" customWidth="1"/>
  </cols>
  <sheetData>
    <row r="1" spans="1:6">
      <c r="A1" s="3" t="s">
        <v>32</v>
      </c>
      <c r="B1" s="3" t="s">
        <v>422</v>
      </c>
      <c r="C1" s="3" t="s">
        <v>208</v>
      </c>
      <c r="D1" s="3" t="s">
        <v>423</v>
      </c>
      <c r="E1" s="3" t="s">
        <v>424</v>
      </c>
      <c r="F1" s="3" t="s">
        <v>425</v>
      </c>
    </row>
    <row r="2" spans="1:6">
      <c r="A2" s="9">
        <v>1</v>
      </c>
      <c r="B2" s="10" t="s">
        <v>42</v>
      </c>
      <c r="C2" s="9" t="s">
        <v>306</v>
      </c>
      <c r="D2" s="13">
        <v>3380</v>
      </c>
      <c r="E2" s="13">
        <v>0</v>
      </c>
      <c r="F2" s="13">
        <f t="shared" ref="F2:F10" si="0">D2-E2</f>
        <v>3380</v>
      </c>
    </row>
    <row r="3" spans="1:6">
      <c r="A3" s="11">
        <v>2</v>
      </c>
      <c r="B3" s="12" t="s">
        <v>54</v>
      </c>
      <c r="C3" s="11" t="s">
        <v>330</v>
      </c>
      <c r="D3" s="14">
        <v>2100</v>
      </c>
      <c r="E3" s="14">
        <v>0</v>
      </c>
      <c r="F3" s="14">
        <f t="shared" si="0"/>
        <v>2100</v>
      </c>
    </row>
    <row r="4" spans="1:6">
      <c r="A4" s="9">
        <v>3</v>
      </c>
      <c r="B4" s="10" t="s">
        <v>87</v>
      </c>
      <c r="C4" s="9" t="s">
        <v>318</v>
      </c>
      <c r="D4" s="13">
        <v>1240</v>
      </c>
      <c r="E4" s="13">
        <v>500</v>
      </c>
      <c r="F4" s="13">
        <f t="shared" si="0"/>
        <v>740</v>
      </c>
    </row>
    <row r="5" spans="1:6">
      <c r="A5" s="11">
        <v>4</v>
      </c>
      <c r="B5" s="12" t="s">
        <v>107</v>
      </c>
      <c r="C5" s="11" t="s">
        <v>305</v>
      </c>
      <c r="D5" s="14">
        <v>3150</v>
      </c>
      <c r="E5" s="14">
        <v>0</v>
      </c>
      <c r="F5" s="14">
        <f t="shared" si="0"/>
        <v>3150</v>
      </c>
    </row>
    <row r="6" spans="1:6">
      <c r="A6" s="9">
        <v>5</v>
      </c>
      <c r="B6" s="10" t="s">
        <v>114</v>
      </c>
      <c r="C6" s="9" t="s">
        <v>260</v>
      </c>
      <c r="D6" s="13">
        <v>4300</v>
      </c>
      <c r="E6" s="13">
        <v>4000</v>
      </c>
      <c r="F6" s="13">
        <f t="shared" si="0"/>
        <v>300</v>
      </c>
    </row>
    <row r="7" spans="1:6">
      <c r="A7" s="11">
        <v>6</v>
      </c>
      <c r="B7" s="12" t="s">
        <v>117</v>
      </c>
      <c r="C7" s="11" t="s">
        <v>334</v>
      </c>
      <c r="D7" s="14">
        <v>3150</v>
      </c>
      <c r="E7" s="14">
        <v>2000</v>
      </c>
      <c r="F7" s="14">
        <f t="shared" si="0"/>
        <v>1150</v>
      </c>
    </row>
    <row r="8" spans="1:6">
      <c r="A8" s="9">
        <v>7</v>
      </c>
      <c r="B8" s="10" t="s">
        <v>120</v>
      </c>
      <c r="C8" s="9" t="s">
        <v>327</v>
      </c>
      <c r="D8" s="13">
        <v>1550</v>
      </c>
      <c r="E8" s="13">
        <v>0</v>
      </c>
      <c r="F8" s="13">
        <f t="shared" si="0"/>
        <v>1550</v>
      </c>
    </row>
    <row r="9" spans="1:6">
      <c r="A9" s="11">
        <v>8</v>
      </c>
      <c r="B9" s="12" t="s">
        <v>139</v>
      </c>
      <c r="C9" s="11" t="s">
        <v>333</v>
      </c>
      <c r="D9" s="14">
        <v>15000</v>
      </c>
      <c r="E9" s="14">
        <v>8000</v>
      </c>
      <c r="F9" s="14">
        <f t="shared" si="0"/>
        <v>7000</v>
      </c>
    </row>
    <row r="10" spans="1:6">
      <c r="A10" s="9">
        <v>9</v>
      </c>
      <c r="B10" s="10" t="s">
        <v>164</v>
      </c>
      <c r="C10" s="9" t="s">
        <v>312</v>
      </c>
      <c r="D10" s="13">
        <v>9100</v>
      </c>
      <c r="E10" s="13">
        <v>0</v>
      </c>
      <c r="F10" s="13">
        <f t="shared" si="0"/>
        <v>9100</v>
      </c>
    </row>
    <row r="11" spans="1:6">
      <c r="B11" s="15" t="s">
        <v>426</v>
      </c>
      <c r="D11" s="16">
        <f>SUM(D2:D10)</f>
        <v>42970</v>
      </c>
      <c r="E11" s="16">
        <f>SUM(E2:E10)</f>
        <v>14500</v>
      </c>
      <c r="F11" s="16">
        <f>SUM(F2:F10)</f>
        <v>28470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/>
  </sheetViews>
  <sheetFormatPr defaultRowHeight="14.5"/>
  <cols>
    <col min="1" max="1" width="12" customWidth="1"/>
    <col min="2" max="2" width="15" customWidth="1"/>
    <col min="3" max="3" width="33" customWidth="1"/>
    <col min="4" max="4" width="17" customWidth="1"/>
    <col min="5" max="5" width="16" customWidth="1"/>
  </cols>
  <sheetData>
    <row r="1" spans="1:5">
      <c r="A1" s="3" t="s">
        <v>427</v>
      </c>
      <c r="B1" s="3" t="s">
        <v>207</v>
      </c>
      <c r="C1" s="3" t="s">
        <v>428</v>
      </c>
      <c r="D1" s="3" t="s">
        <v>429</v>
      </c>
      <c r="E1" s="3" t="s">
        <v>6</v>
      </c>
    </row>
    <row r="2" spans="1:5">
      <c r="A2" s="9" t="s">
        <v>364</v>
      </c>
      <c r="B2" s="9" t="s">
        <v>365</v>
      </c>
      <c r="C2" s="10" t="s">
        <v>366</v>
      </c>
      <c r="D2" s="9" t="s">
        <v>367</v>
      </c>
      <c r="E2" s="13">
        <v>1500</v>
      </c>
    </row>
    <row r="3" spans="1:5">
      <c r="A3" s="11" t="s">
        <v>368</v>
      </c>
      <c r="B3" s="11" t="s">
        <v>369</v>
      </c>
      <c r="C3" s="12" t="s">
        <v>366</v>
      </c>
      <c r="D3" s="11" t="s">
        <v>367</v>
      </c>
      <c r="E3" s="14">
        <v>80</v>
      </c>
    </row>
    <row r="4" spans="1:5">
      <c r="A4" s="9" t="s">
        <v>370</v>
      </c>
      <c r="B4" s="9" t="s">
        <v>371</v>
      </c>
      <c r="C4" s="10" t="s">
        <v>366</v>
      </c>
      <c r="D4" s="9" t="s">
        <v>367</v>
      </c>
      <c r="E4" s="13">
        <v>800</v>
      </c>
    </row>
    <row r="5" spans="1:5">
      <c r="A5" s="11" t="s">
        <v>372</v>
      </c>
      <c r="B5" s="11" t="s">
        <v>373</v>
      </c>
      <c r="C5" s="12" t="s">
        <v>366</v>
      </c>
      <c r="D5" s="11" t="s">
        <v>367</v>
      </c>
      <c r="E5" s="14">
        <v>50</v>
      </c>
    </row>
    <row r="6" spans="1:5">
      <c r="A6" s="9" t="s">
        <v>374</v>
      </c>
      <c r="B6" s="9" t="s">
        <v>375</v>
      </c>
      <c r="C6" s="10" t="s">
        <v>366</v>
      </c>
      <c r="D6" s="9" t="s">
        <v>367</v>
      </c>
      <c r="E6" s="13">
        <v>80</v>
      </c>
    </row>
    <row r="7" spans="1:5">
      <c r="A7" s="11" t="s">
        <v>376</v>
      </c>
      <c r="B7" s="11" t="s">
        <v>377</v>
      </c>
      <c r="C7" s="12" t="s">
        <v>366</v>
      </c>
      <c r="D7" s="11" t="s">
        <v>367</v>
      </c>
      <c r="E7" s="14">
        <v>90</v>
      </c>
    </row>
    <row r="8" spans="1:5">
      <c r="A8" s="9" t="s">
        <v>378</v>
      </c>
      <c r="B8" s="9" t="s">
        <v>379</v>
      </c>
      <c r="C8" s="10" t="s">
        <v>366</v>
      </c>
      <c r="D8" s="9" t="s">
        <v>367</v>
      </c>
      <c r="E8" s="13">
        <v>250</v>
      </c>
    </row>
    <row r="9" spans="1:5">
      <c r="A9" s="11" t="s">
        <v>380</v>
      </c>
      <c r="B9" s="11" t="s">
        <v>381</v>
      </c>
      <c r="C9" s="12" t="s">
        <v>366</v>
      </c>
      <c r="D9" s="11" t="s">
        <v>367</v>
      </c>
      <c r="E9" s="14">
        <v>400</v>
      </c>
    </row>
    <row r="10" spans="1:5">
      <c r="A10" s="9" t="s">
        <v>382</v>
      </c>
      <c r="B10" s="9" t="s">
        <v>381</v>
      </c>
      <c r="C10" s="10" t="s">
        <v>366</v>
      </c>
      <c r="D10" s="9" t="s">
        <v>367</v>
      </c>
      <c r="E10" s="13">
        <v>300</v>
      </c>
    </row>
    <row r="11" spans="1:5">
      <c r="A11" s="11" t="s">
        <v>383</v>
      </c>
      <c r="B11" s="11" t="s">
        <v>384</v>
      </c>
      <c r="C11" s="12" t="s">
        <v>366</v>
      </c>
      <c r="D11" s="11" t="s">
        <v>367</v>
      </c>
      <c r="E11" s="14">
        <v>250</v>
      </c>
    </row>
    <row r="12" spans="1:5">
      <c r="A12" s="9" t="s">
        <v>385</v>
      </c>
      <c r="B12" s="9" t="s">
        <v>386</v>
      </c>
      <c r="C12" s="10" t="s">
        <v>366</v>
      </c>
      <c r="D12" s="9" t="s">
        <v>367</v>
      </c>
      <c r="E12" s="13">
        <v>250</v>
      </c>
    </row>
    <row r="13" spans="1:5">
      <c r="A13" s="11" t="s">
        <v>387</v>
      </c>
      <c r="B13" s="11" t="s">
        <v>388</v>
      </c>
      <c r="C13" s="12" t="s">
        <v>366</v>
      </c>
      <c r="D13" s="11" t="s">
        <v>367</v>
      </c>
      <c r="E13" s="14">
        <v>200</v>
      </c>
    </row>
    <row r="14" spans="1:5">
      <c r="A14" s="9" t="s">
        <v>389</v>
      </c>
      <c r="B14" s="9" t="s">
        <v>390</v>
      </c>
      <c r="C14" s="10" t="s">
        <v>366</v>
      </c>
      <c r="D14" s="9" t="s">
        <v>367</v>
      </c>
      <c r="E14" s="13">
        <v>850</v>
      </c>
    </row>
    <row r="15" spans="1:5">
      <c r="A15" s="11" t="s">
        <v>394</v>
      </c>
      <c r="B15" s="11" t="s">
        <v>395</v>
      </c>
      <c r="C15" s="12" t="s">
        <v>396</v>
      </c>
      <c r="D15" s="11" t="s">
        <v>367</v>
      </c>
      <c r="E15" s="14">
        <v>810</v>
      </c>
    </row>
    <row r="16" spans="1:5">
      <c r="A16" s="9" t="s">
        <v>397</v>
      </c>
      <c r="B16" s="9" t="s">
        <v>398</v>
      </c>
      <c r="C16" s="10" t="s">
        <v>366</v>
      </c>
      <c r="D16" s="9" t="s">
        <v>367</v>
      </c>
      <c r="E16" s="13">
        <v>200</v>
      </c>
    </row>
    <row r="17" spans="1:5">
      <c r="A17" s="11" t="s">
        <v>399</v>
      </c>
      <c r="B17" s="11" t="s">
        <v>400</v>
      </c>
      <c r="C17" s="12" t="s">
        <v>401</v>
      </c>
      <c r="D17" s="11" t="s">
        <v>367</v>
      </c>
      <c r="E17" s="14">
        <v>1000</v>
      </c>
    </row>
    <row r="18" spans="1:5">
      <c r="A18" s="9" t="s">
        <v>404</v>
      </c>
      <c r="B18" s="9" t="s">
        <v>405</v>
      </c>
      <c r="C18" s="10" t="s">
        <v>366</v>
      </c>
      <c r="D18" s="9" t="s">
        <v>367</v>
      </c>
      <c r="E18" s="13">
        <v>300</v>
      </c>
    </row>
    <row r="19" spans="1:5">
      <c r="A19" s="11" t="s">
        <v>406</v>
      </c>
      <c r="B19" s="11" t="s">
        <v>407</v>
      </c>
      <c r="C19" s="12" t="s">
        <v>366</v>
      </c>
      <c r="D19" s="11" t="s">
        <v>367</v>
      </c>
      <c r="E19" s="14">
        <v>900</v>
      </c>
    </row>
    <row r="20" spans="1:5">
      <c r="A20" s="9" t="s">
        <v>408</v>
      </c>
      <c r="B20" s="9" t="s">
        <v>409</v>
      </c>
      <c r="C20" s="10" t="s">
        <v>366</v>
      </c>
      <c r="D20" s="9" t="s">
        <v>367</v>
      </c>
      <c r="E20" s="13">
        <v>800</v>
      </c>
    </row>
    <row r="21" spans="1:5">
      <c r="A21" s="11" t="s">
        <v>410</v>
      </c>
      <c r="B21" s="11" t="s">
        <v>411</v>
      </c>
      <c r="C21" s="12" t="s">
        <v>366</v>
      </c>
      <c r="D21" s="11" t="s">
        <v>367</v>
      </c>
      <c r="E21" s="14">
        <v>500</v>
      </c>
    </row>
    <row r="22" spans="1:5">
      <c r="A22" s="9" t="s">
        <v>412</v>
      </c>
      <c r="B22" s="9" t="s">
        <v>413</v>
      </c>
      <c r="C22" s="10" t="s">
        <v>366</v>
      </c>
      <c r="D22" s="9" t="s">
        <v>367</v>
      </c>
      <c r="E22" s="13">
        <v>300</v>
      </c>
    </row>
    <row r="23" spans="1:5">
      <c r="A23" s="11" t="s">
        <v>414</v>
      </c>
      <c r="B23" s="11" t="s">
        <v>415</v>
      </c>
      <c r="C23" s="12" t="s">
        <v>416</v>
      </c>
      <c r="D23" s="11" t="s">
        <v>367</v>
      </c>
      <c r="E23" s="14">
        <v>500</v>
      </c>
    </row>
    <row r="24" spans="1:5">
      <c r="A24" s="9" t="s">
        <v>417</v>
      </c>
      <c r="B24" s="9" t="s">
        <v>415</v>
      </c>
      <c r="C24" s="10" t="s">
        <v>396</v>
      </c>
      <c r="D24" s="9" t="s">
        <v>367</v>
      </c>
      <c r="E24" s="13">
        <v>750</v>
      </c>
    </row>
    <row r="25" spans="1:5">
      <c r="A25" s="11" t="s">
        <v>418</v>
      </c>
      <c r="B25" s="11" t="s">
        <v>415</v>
      </c>
      <c r="C25" s="12" t="s">
        <v>366</v>
      </c>
      <c r="D25" s="11" t="s">
        <v>367</v>
      </c>
      <c r="E25" s="14">
        <v>300</v>
      </c>
    </row>
    <row r="26" spans="1:5">
      <c r="A26" s="9" t="s">
        <v>419</v>
      </c>
      <c r="B26" s="9" t="s">
        <v>420</v>
      </c>
      <c r="C26" s="10" t="s">
        <v>366</v>
      </c>
      <c r="D26" s="9" t="s">
        <v>367</v>
      </c>
      <c r="E26" s="13">
        <v>300</v>
      </c>
    </row>
    <row r="27" spans="1:5">
      <c r="C27" s="15" t="s">
        <v>430</v>
      </c>
      <c r="E27" s="16">
        <f>SUM(E2:E26)</f>
        <v>11760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4.5"/>
  <cols>
    <col min="1" max="2" width="12" customWidth="1"/>
    <col min="3" max="4" width="25" customWidth="1"/>
    <col min="5" max="5" width="26" customWidth="1"/>
  </cols>
  <sheetData>
    <row r="1" spans="1:5">
      <c r="A1" s="3" t="s">
        <v>427</v>
      </c>
      <c r="B1" s="3" t="s">
        <v>207</v>
      </c>
      <c r="C1" s="3" t="s">
        <v>431</v>
      </c>
      <c r="D1" s="3" t="s">
        <v>429</v>
      </c>
      <c r="E1" s="3" t="s">
        <v>432</v>
      </c>
    </row>
    <row r="2" spans="1:5">
      <c r="A2" s="9" t="s">
        <v>391</v>
      </c>
      <c r="B2" s="9" t="s">
        <v>390</v>
      </c>
      <c r="C2" s="10" t="s">
        <v>392</v>
      </c>
      <c r="D2" s="9" t="s">
        <v>433</v>
      </c>
      <c r="E2" s="13">
        <v>10350</v>
      </c>
    </row>
    <row r="3" spans="1:5">
      <c r="A3" s="11" t="s">
        <v>402</v>
      </c>
      <c r="B3" s="11" t="s">
        <v>403</v>
      </c>
      <c r="C3" s="12" t="s">
        <v>392</v>
      </c>
      <c r="D3" s="11" t="s">
        <v>433</v>
      </c>
      <c r="E3" s="14">
        <v>10000</v>
      </c>
    </row>
    <row r="4" spans="1:5">
      <c r="C4" s="15" t="s">
        <v>434</v>
      </c>
      <c r="E4" s="16">
        <f>SUM(E2:E3)</f>
        <v>20350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Dashboard_PL</vt:lpstr>
      <vt:lpstr>Customers</vt:lpstr>
      <vt:lpstr>Raw_Materials</vt:lpstr>
      <vt:lpstr>Sales_Orders</vt:lpstr>
      <vt:lpstr>Products</vt:lpstr>
      <vt:lpstr>Product_Wise_Sales</vt:lpstr>
      <vt:lpstr>Expenses_and_Draws</vt:lpstr>
      <vt:lpstr>Unpaid_Invoices</vt:lpstr>
      <vt:lpstr>Direct_Operating_Expenses</vt:lpstr>
      <vt:lpstr>Owners_Draws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 Bakar Siddique</cp:lastModifiedBy>
  <dcterms:created xsi:type="dcterms:W3CDTF">2026-10-23T17:38:25Z</dcterms:created>
  <dcterms:modified xsi:type="dcterms:W3CDTF">2026-10-24T12:19:35Z</dcterms:modified>
</cp:coreProperties>
</file>